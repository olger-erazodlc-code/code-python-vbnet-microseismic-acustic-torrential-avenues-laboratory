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doctorado\semestre_10\articulo_7_sismos_sonido_Ieee transactional\features_16agos2026_sismos_audios\"/>
    </mc:Choice>
  </mc:AlternateContent>
  <bookViews>
    <workbookView xWindow="0" yWindow="0" windowWidth="20490" windowHeight="7650" tabRatio="824" firstSheet="2" activeTab="2"/>
  </bookViews>
  <sheets>
    <sheet name="acústico" sheetId="3" r:id="rId1"/>
    <sheet name="microsismos" sheetId="2" r:id="rId2"/>
    <sheet name="microsismos+fp" sheetId="1" r:id="rId3"/>
    <sheet name="fusión mejor car 2 fuentes" sheetId="4" r:id="rId4"/>
    <sheet name="fusión mejor car 2 fuentes+fp" sheetId="5" r:id="rId5"/>
    <sheet name="fusión mejor car por fuente" sheetId="6" r:id="rId6"/>
    <sheet name="fusión mejor car por fuente+fp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3" i="7" l="1"/>
  <c r="J33" i="7"/>
  <c r="I33" i="7"/>
  <c r="H33" i="7"/>
  <c r="N33" i="7" s="1"/>
  <c r="G33" i="7"/>
  <c r="F33" i="7"/>
  <c r="K27" i="7"/>
  <c r="J27" i="7"/>
  <c r="I27" i="7"/>
  <c r="H27" i="7"/>
  <c r="N27" i="7" s="1"/>
  <c r="G27" i="7"/>
  <c r="F27" i="7"/>
  <c r="M21" i="7"/>
  <c r="K21" i="7"/>
  <c r="J21" i="7"/>
  <c r="I21" i="7"/>
  <c r="H21" i="7"/>
  <c r="N21" i="7" s="1"/>
  <c r="G21" i="7"/>
  <c r="F21" i="7"/>
  <c r="K15" i="7"/>
  <c r="J15" i="7"/>
  <c r="I15" i="7"/>
  <c r="H15" i="7"/>
  <c r="G15" i="7"/>
  <c r="M15" i="7" s="1"/>
  <c r="F15" i="7"/>
  <c r="K9" i="7"/>
  <c r="J9" i="7"/>
  <c r="I9" i="7"/>
  <c r="H9" i="7"/>
  <c r="G9" i="7"/>
  <c r="F9" i="7"/>
  <c r="K3" i="7"/>
  <c r="J3" i="7"/>
  <c r="I3" i="7"/>
  <c r="H3" i="7"/>
  <c r="G3" i="7"/>
  <c r="F3" i="7"/>
  <c r="K33" i="6"/>
  <c r="J33" i="6"/>
  <c r="I33" i="6"/>
  <c r="H33" i="6"/>
  <c r="G33" i="6"/>
  <c r="F33" i="6"/>
  <c r="K27" i="6"/>
  <c r="J27" i="6"/>
  <c r="I27" i="6"/>
  <c r="H27" i="6"/>
  <c r="G27" i="6"/>
  <c r="F27" i="6"/>
  <c r="K21" i="6"/>
  <c r="J21" i="6"/>
  <c r="I21" i="6"/>
  <c r="H21" i="6"/>
  <c r="G21" i="6"/>
  <c r="F21" i="6"/>
  <c r="K15" i="6"/>
  <c r="J15" i="6"/>
  <c r="I15" i="6"/>
  <c r="H15" i="6"/>
  <c r="N15" i="6" s="1"/>
  <c r="G15" i="6"/>
  <c r="F15" i="6"/>
  <c r="M9" i="6"/>
  <c r="K9" i="6"/>
  <c r="J9" i="6"/>
  <c r="I9" i="6"/>
  <c r="H9" i="6"/>
  <c r="N9" i="6" s="1"/>
  <c r="G9" i="6"/>
  <c r="F9" i="6"/>
  <c r="K3" i="6"/>
  <c r="J3" i="6"/>
  <c r="I3" i="6"/>
  <c r="H3" i="6"/>
  <c r="G3" i="6"/>
  <c r="M3" i="6" s="1"/>
  <c r="F3" i="6"/>
  <c r="K33" i="5"/>
  <c r="J33" i="5"/>
  <c r="I33" i="5"/>
  <c r="H33" i="5"/>
  <c r="G33" i="5"/>
  <c r="M33" i="5" s="1"/>
  <c r="F33" i="5"/>
  <c r="K27" i="5"/>
  <c r="J27" i="5"/>
  <c r="I27" i="5"/>
  <c r="H27" i="5"/>
  <c r="G27" i="5"/>
  <c r="F27" i="5"/>
  <c r="K21" i="5"/>
  <c r="J21" i="5"/>
  <c r="I21" i="5"/>
  <c r="H21" i="5"/>
  <c r="N21" i="5" s="1"/>
  <c r="G21" i="5"/>
  <c r="F21" i="5"/>
  <c r="K15" i="5"/>
  <c r="J15" i="5"/>
  <c r="I15" i="5"/>
  <c r="H15" i="5"/>
  <c r="G15" i="5"/>
  <c r="F15" i="5"/>
  <c r="K9" i="5"/>
  <c r="J9" i="5"/>
  <c r="I9" i="5"/>
  <c r="H9" i="5"/>
  <c r="G9" i="5"/>
  <c r="F9" i="5"/>
  <c r="L9" i="5" s="1"/>
  <c r="K3" i="5"/>
  <c r="J3" i="5"/>
  <c r="I3" i="5"/>
  <c r="H3" i="5"/>
  <c r="G3" i="5"/>
  <c r="F3" i="5"/>
  <c r="K33" i="4"/>
  <c r="J33" i="4"/>
  <c r="I33" i="4"/>
  <c r="H33" i="4"/>
  <c r="G33" i="4"/>
  <c r="F33" i="4"/>
  <c r="K27" i="4"/>
  <c r="J27" i="4"/>
  <c r="I27" i="4"/>
  <c r="H27" i="4"/>
  <c r="G27" i="4"/>
  <c r="F27" i="4"/>
  <c r="K21" i="4"/>
  <c r="J21" i="4"/>
  <c r="I21" i="4"/>
  <c r="H21" i="4"/>
  <c r="N21" i="4" s="1"/>
  <c r="G21" i="4"/>
  <c r="F21" i="4"/>
  <c r="K15" i="4"/>
  <c r="J15" i="4"/>
  <c r="I15" i="4"/>
  <c r="H15" i="4"/>
  <c r="G15" i="4"/>
  <c r="M15" i="4" s="1"/>
  <c r="F15" i="4"/>
  <c r="K9" i="4"/>
  <c r="J9" i="4"/>
  <c r="I9" i="4"/>
  <c r="L9" i="4" s="1"/>
  <c r="H9" i="4"/>
  <c r="G9" i="4"/>
  <c r="F9" i="4"/>
  <c r="K3" i="4"/>
  <c r="J3" i="4"/>
  <c r="I3" i="4"/>
  <c r="H3" i="4"/>
  <c r="G3" i="4"/>
  <c r="F3" i="4"/>
  <c r="K33" i="3"/>
  <c r="J33" i="3"/>
  <c r="I33" i="3"/>
  <c r="H33" i="3"/>
  <c r="G33" i="3"/>
  <c r="F33" i="3"/>
  <c r="K27" i="3"/>
  <c r="J27" i="3"/>
  <c r="I27" i="3"/>
  <c r="H27" i="3"/>
  <c r="G27" i="3"/>
  <c r="F27" i="3"/>
  <c r="K21" i="3"/>
  <c r="J21" i="3"/>
  <c r="I21" i="3"/>
  <c r="H21" i="3"/>
  <c r="N21" i="3" s="1"/>
  <c r="G21" i="3"/>
  <c r="F21" i="3"/>
  <c r="K15" i="3"/>
  <c r="J15" i="3"/>
  <c r="I15" i="3"/>
  <c r="H15" i="3"/>
  <c r="N15" i="3" s="1"/>
  <c r="G15" i="3"/>
  <c r="F15" i="3"/>
  <c r="K9" i="3"/>
  <c r="J9" i="3"/>
  <c r="I9" i="3"/>
  <c r="H9" i="3"/>
  <c r="G9" i="3"/>
  <c r="F9" i="3"/>
  <c r="L9" i="3" s="1"/>
  <c r="K3" i="3"/>
  <c r="J3" i="3"/>
  <c r="I3" i="3"/>
  <c r="H3" i="3"/>
  <c r="G3" i="3"/>
  <c r="F3" i="3"/>
  <c r="K33" i="2"/>
  <c r="J33" i="2"/>
  <c r="I33" i="2"/>
  <c r="H33" i="2"/>
  <c r="N33" i="2" s="1"/>
  <c r="G33" i="2"/>
  <c r="F33" i="2"/>
  <c r="K27" i="2"/>
  <c r="J27" i="2"/>
  <c r="I27" i="2"/>
  <c r="H27" i="2"/>
  <c r="G27" i="2"/>
  <c r="F27" i="2"/>
  <c r="K21" i="2"/>
  <c r="J21" i="2"/>
  <c r="I21" i="2"/>
  <c r="H21" i="2"/>
  <c r="G21" i="2"/>
  <c r="F21" i="2"/>
  <c r="K15" i="2"/>
  <c r="J15" i="2"/>
  <c r="I15" i="2"/>
  <c r="H15" i="2"/>
  <c r="N15" i="2" s="1"/>
  <c r="G15" i="2"/>
  <c r="F15" i="2"/>
  <c r="K9" i="2"/>
  <c r="J9" i="2"/>
  <c r="I9" i="2"/>
  <c r="H9" i="2"/>
  <c r="G9" i="2"/>
  <c r="F9" i="2"/>
  <c r="L9" i="2" s="1"/>
  <c r="K3" i="2"/>
  <c r="J3" i="2"/>
  <c r="I3" i="2"/>
  <c r="H3" i="2"/>
  <c r="G3" i="2"/>
  <c r="F3" i="2"/>
  <c r="L3" i="2" s="1"/>
  <c r="K33" i="1"/>
  <c r="J33" i="1"/>
  <c r="I33" i="1"/>
  <c r="H33" i="1"/>
  <c r="G33" i="1"/>
  <c r="F33" i="1"/>
  <c r="K27" i="1"/>
  <c r="J27" i="1"/>
  <c r="I27" i="1"/>
  <c r="H27" i="1"/>
  <c r="G27" i="1"/>
  <c r="F27" i="1"/>
  <c r="K21" i="1"/>
  <c r="J21" i="1"/>
  <c r="I21" i="1"/>
  <c r="H21" i="1"/>
  <c r="G21" i="1"/>
  <c r="F21" i="1"/>
  <c r="K15" i="1"/>
  <c r="J15" i="1"/>
  <c r="I15" i="1"/>
  <c r="H15" i="1"/>
  <c r="G15" i="1"/>
  <c r="F15" i="1"/>
  <c r="K9" i="1"/>
  <c r="N9" i="1" s="1"/>
  <c r="J9" i="1"/>
  <c r="I9" i="1"/>
  <c r="H9" i="1"/>
  <c r="G9" i="1"/>
  <c r="M9" i="1" s="1"/>
  <c r="F9" i="1"/>
  <c r="L9" i="1" s="1"/>
  <c r="O3" i="1"/>
  <c r="N3" i="1"/>
  <c r="M3" i="1"/>
  <c r="L3" i="1"/>
  <c r="K3" i="1"/>
  <c r="J3" i="1"/>
  <c r="I3" i="1"/>
  <c r="H3" i="1"/>
  <c r="G3" i="1"/>
  <c r="F3" i="1"/>
  <c r="M33" i="7" l="1"/>
  <c r="L33" i="7"/>
  <c r="O33" i="7" s="1"/>
  <c r="M27" i="7"/>
  <c r="L27" i="7"/>
  <c r="O27" i="7" s="1"/>
  <c r="L21" i="7"/>
  <c r="O21" i="7" s="1"/>
  <c r="N15" i="7"/>
  <c r="L15" i="7"/>
  <c r="O15" i="7" s="1"/>
  <c r="N9" i="7"/>
  <c r="L9" i="7"/>
  <c r="M9" i="7"/>
  <c r="N3" i="7"/>
  <c r="M3" i="7"/>
  <c r="L3" i="7"/>
  <c r="O3" i="7" s="1"/>
  <c r="M33" i="6"/>
  <c r="L33" i="6"/>
  <c r="N27" i="6"/>
  <c r="M21" i="6"/>
  <c r="L21" i="6"/>
  <c r="M15" i="6"/>
  <c r="L9" i="6"/>
  <c r="O9" i="6" s="1"/>
  <c r="N3" i="6"/>
  <c r="N3" i="5"/>
  <c r="M3" i="5"/>
  <c r="N33" i="6"/>
  <c r="O33" i="6" s="1"/>
  <c r="M27" i="6"/>
  <c r="L27" i="6"/>
  <c r="O27" i="6" s="1"/>
  <c r="N21" i="6"/>
  <c r="O21" i="6" s="1"/>
  <c r="L15" i="6"/>
  <c r="O15" i="6" s="1"/>
  <c r="L3" i="6"/>
  <c r="O3" i="6" s="1"/>
  <c r="L33" i="5"/>
  <c r="N27" i="5"/>
  <c r="M21" i="5"/>
  <c r="L21" i="5"/>
  <c r="O21" i="5" s="1"/>
  <c r="N15" i="5"/>
  <c r="N9" i="5"/>
  <c r="M9" i="5"/>
  <c r="O9" i="5" s="1"/>
  <c r="N33" i="5"/>
  <c r="O33" i="5" s="1"/>
  <c r="L27" i="5"/>
  <c r="M27" i="5"/>
  <c r="L15" i="5"/>
  <c r="M15" i="5"/>
  <c r="L3" i="5"/>
  <c r="N3" i="4"/>
  <c r="M3" i="4"/>
  <c r="M33" i="4"/>
  <c r="L33" i="4"/>
  <c r="N27" i="4"/>
  <c r="M27" i="4"/>
  <c r="M21" i="4"/>
  <c r="L21" i="4"/>
  <c r="N15" i="4"/>
  <c r="N9" i="4"/>
  <c r="M9" i="4"/>
  <c r="O9" i="4" s="1"/>
  <c r="N33" i="4"/>
  <c r="L27" i="4"/>
  <c r="L15" i="4"/>
  <c r="O15" i="4" s="1"/>
  <c r="L3" i="4"/>
  <c r="O21" i="4"/>
  <c r="L33" i="3"/>
  <c r="N27" i="3"/>
  <c r="M27" i="3"/>
  <c r="M21" i="3"/>
  <c r="L21" i="3"/>
  <c r="O21" i="3" s="1"/>
  <c r="M15" i="3"/>
  <c r="M9" i="3"/>
  <c r="N3" i="3"/>
  <c r="L3" i="3"/>
  <c r="M33" i="3"/>
  <c r="N33" i="3"/>
  <c r="L27" i="3"/>
  <c r="O27" i="3" s="1"/>
  <c r="L15" i="3"/>
  <c r="N9" i="3"/>
  <c r="O9" i="3" s="1"/>
  <c r="M3" i="3"/>
  <c r="L33" i="2"/>
  <c r="N27" i="2"/>
  <c r="M27" i="2"/>
  <c r="M21" i="2"/>
  <c r="L21" i="2"/>
  <c r="M15" i="2"/>
  <c r="M9" i="2"/>
  <c r="O9" i="2"/>
  <c r="N3" i="2"/>
  <c r="M3" i="2"/>
  <c r="O3" i="2" s="1"/>
  <c r="M33" i="2"/>
  <c r="L27" i="2"/>
  <c r="O27" i="2" s="1"/>
  <c r="N21" i="2"/>
  <c r="O21" i="2" s="1"/>
  <c r="L15" i="2"/>
  <c r="O15" i="2" s="1"/>
  <c r="N9" i="2"/>
  <c r="L33" i="1"/>
  <c r="M33" i="1"/>
  <c r="N33" i="1"/>
  <c r="O33" i="1"/>
  <c r="L27" i="1"/>
  <c r="M21" i="1"/>
  <c r="L21" i="1"/>
  <c r="M15" i="1"/>
  <c r="L15" i="1"/>
  <c r="M27" i="1"/>
  <c r="N27" i="1"/>
  <c r="O27" i="1" s="1"/>
  <c r="N21" i="1"/>
  <c r="N15" i="1"/>
  <c r="O15" i="1" s="1"/>
  <c r="O9" i="1"/>
  <c r="O21" i="1"/>
  <c r="O9" i="7" l="1"/>
  <c r="O3" i="5"/>
  <c r="O27" i="5"/>
  <c r="O15" i="5"/>
  <c r="O3" i="4"/>
  <c r="O33" i="4"/>
  <c r="O27" i="4"/>
  <c r="O33" i="3"/>
  <c r="O15" i="3"/>
  <c r="O3" i="3"/>
  <c r="O33" i="2"/>
</calcChain>
</file>

<file path=xl/sharedStrings.xml><?xml version="1.0" encoding="utf-8"?>
<sst xmlns="http://schemas.openxmlformats.org/spreadsheetml/2006/main" count="840" uniqueCount="28">
  <si>
    <t>normal</t>
  </si>
  <si>
    <t>caudaloso</t>
  </si>
  <si>
    <t>impacto</t>
  </si>
  <si>
    <t>precision im</t>
  </si>
  <si>
    <t>recall c</t>
  </si>
  <si>
    <t>recall im</t>
  </si>
  <si>
    <t>f1-no</t>
  </si>
  <si>
    <t>f1-ca</t>
  </si>
  <si>
    <t>f1-im</t>
  </si>
  <si>
    <t>precision ca</t>
  </si>
  <si>
    <t>precisión no</t>
  </si>
  <si>
    <t>recall no</t>
  </si>
  <si>
    <t>f1-macro</t>
  </si>
  <si>
    <t>G-mean</t>
  </si>
  <si>
    <t>Cohen´s kappa</t>
  </si>
  <si>
    <t>Accuracy</t>
  </si>
  <si>
    <t>6 caracteristicas</t>
  </si>
  <si>
    <t>8 caracteristicas</t>
  </si>
  <si>
    <t>12 caracteristicas</t>
  </si>
  <si>
    <t>16 caracteristicas</t>
  </si>
  <si>
    <t>20 caracteristicas</t>
  </si>
  <si>
    <t>24 caracteristicas</t>
  </si>
  <si>
    <t>6 caracteristicas (12 total)</t>
  </si>
  <si>
    <t>8 caracteristicas (16 total)</t>
  </si>
  <si>
    <t>12 caracteristicas (24 total)</t>
  </si>
  <si>
    <t>10 caracteristicas (20 total)</t>
  </si>
  <si>
    <t>4 caracteristicas (8 total)</t>
  </si>
  <si>
    <t>3 caracteristicas (6 total)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</si>
</sst>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66FF3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164" fontId="0" fillId="0" borderId="0" xfId="0" applyNumberFormat="1"/>
    <xf numFmtId="0" fontId="1" fillId="0" borderId="0" xfId="0" applyFont="1"/>
    <xf numFmtId="0" fontId="1" fillId="9" borderId="0" xfId="0" applyFont="1" applyFill="1"/>
    <xf numFmtId="0" fontId="0" fillId="9" borderId="0" xfId="0" applyFill="1"/>
    <xf numFmtId="0" fontId="1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"/>
  <sheetViews>
    <sheetView workbookViewId="0">
      <selection activeCell="I3" sqref="I3"/>
    </sheetView>
  </sheetViews>
  <sheetFormatPr baseColWidth="10" defaultRowHeight="15" x14ac:dyDescent="0.25"/>
  <cols>
    <col min="2" max="2" width="8" customWidth="1"/>
    <col min="3" max="3" width="9.140625" customWidth="1"/>
    <col min="4" max="4" width="7.7109375" customWidth="1"/>
    <col min="5" max="5" width="4.28515625" customWidth="1"/>
    <col min="6" max="6" width="11.42578125" customWidth="1"/>
    <col min="7" max="7" width="11.5703125" customWidth="1"/>
    <col min="8" max="8" width="12.140625" customWidth="1"/>
    <col min="9" max="9" width="10.7109375" customWidth="1"/>
    <col min="10" max="10" width="9.140625" customWidth="1"/>
    <col min="11" max="11" width="9.28515625" customWidth="1"/>
    <col min="12" max="12" width="10.42578125" customWidth="1"/>
    <col min="13" max="13" width="10.140625" customWidth="1"/>
    <col min="14" max="14" width="7.7109375" customWidth="1"/>
    <col min="15" max="15" width="9.42578125" customWidth="1"/>
    <col min="16" max="16" width="9" customWidth="1"/>
    <col min="18" max="18" width="14" customWidth="1"/>
  </cols>
  <sheetData>
    <row r="1" spans="1:18" x14ac:dyDescent="0.25">
      <c r="A1" s="9" t="s">
        <v>16</v>
      </c>
    </row>
    <row r="2" spans="1:18" x14ac:dyDescent="0.25">
      <c r="B2" t="s">
        <v>0</v>
      </c>
      <c r="C2" t="s">
        <v>1</v>
      </c>
      <c r="D2" t="s">
        <v>2</v>
      </c>
      <c r="F2" s="1" t="s">
        <v>10</v>
      </c>
      <c r="G2" s="1" t="s">
        <v>9</v>
      </c>
      <c r="H2" s="1" t="s">
        <v>3</v>
      </c>
      <c r="I2" s="2" t="s">
        <v>11</v>
      </c>
      <c r="J2" s="2" t="s">
        <v>4</v>
      </c>
      <c r="K2" s="2" t="s">
        <v>5</v>
      </c>
      <c r="L2" s="3" t="s">
        <v>6</v>
      </c>
      <c r="M2" s="3" t="s">
        <v>7</v>
      </c>
      <c r="N2" s="3" t="s">
        <v>8</v>
      </c>
      <c r="O2" s="6" t="s">
        <v>12</v>
      </c>
      <c r="P2" s="7" t="s">
        <v>15</v>
      </c>
      <c r="Q2" s="5" t="s">
        <v>13</v>
      </c>
      <c r="R2" s="4" t="s">
        <v>14</v>
      </c>
    </row>
    <row r="3" spans="1:18" x14ac:dyDescent="0.25">
      <c r="A3" t="s">
        <v>0</v>
      </c>
      <c r="B3">
        <v>13</v>
      </c>
      <c r="C3">
        <v>0</v>
      </c>
      <c r="D3">
        <v>1</v>
      </c>
      <c r="F3" s="8">
        <f>B3/(B3+B4+B5)</f>
        <v>0.76470588235294112</v>
      </c>
      <c r="G3" s="8">
        <f>C4/(C3+C4+C5)</f>
        <v>0.5</v>
      </c>
      <c r="H3" s="8">
        <f>D5/(D3+D4+D5)</f>
        <v>0.75</v>
      </c>
      <c r="I3" s="8">
        <f>B3/(B3+C3+D3)</f>
        <v>0.9285714285714286</v>
      </c>
      <c r="J3" s="8">
        <f>C4/(C4+D4+E4)</f>
        <v>0.8</v>
      </c>
      <c r="K3" s="8">
        <f>D5/(B5+C5+D5)</f>
        <v>0.54545454545454541</v>
      </c>
      <c r="L3" s="8">
        <f>2*((F3*I3)/(F3+I3))</f>
        <v>0.83870967741935487</v>
      </c>
      <c r="M3" s="8">
        <f>2*((G3*J3)/(G3+J3))</f>
        <v>0.61538461538461542</v>
      </c>
      <c r="N3" s="8">
        <f>2*((H3*K3)/(H3+K3))</f>
        <v>0.63157894736842102</v>
      </c>
      <c r="O3" s="8">
        <f>AVERAGE(L3:N3)</f>
        <v>0.6952244133907971</v>
      </c>
      <c r="P3" s="8">
        <v>0.60699999999999998</v>
      </c>
      <c r="Q3" s="8">
        <v>0.63300000000000001</v>
      </c>
      <c r="R3" s="8">
        <v>0.52800000000000002</v>
      </c>
    </row>
    <row r="4" spans="1:18" x14ac:dyDescent="0.25">
      <c r="A4" t="s">
        <v>1</v>
      </c>
      <c r="B4">
        <v>3</v>
      </c>
      <c r="C4">
        <v>4</v>
      </c>
      <c r="D4">
        <v>1</v>
      </c>
    </row>
    <row r="5" spans="1:18" x14ac:dyDescent="0.25">
      <c r="A5" t="s">
        <v>2</v>
      </c>
      <c r="B5">
        <v>1</v>
      </c>
      <c r="C5">
        <v>4</v>
      </c>
      <c r="D5">
        <v>6</v>
      </c>
    </row>
    <row r="7" spans="1:18" x14ac:dyDescent="0.25">
      <c r="A7" s="9" t="s">
        <v>17</v>
      </c>
    </row>
    <row r="8" spans="1:18" x14ac:dyDescent="0.25">
      <c r="B8" t="s">
        <v>0</v>
      </c>
      <c r="C8" t="s">
        <v>1</v>
      </c>
      <c r="D8" t="s">
        <v>2</v>
      </c>
      <c r="F8" s="1" t="s">
        <v>10</v>
      </c>
      <c r="G8" s="1" t="s">
        <v>9</v>
      </c>
      <c r="H8" s="1" t="s">
        <v>3</v>
      </c>
      <c r="I8" s="2" t="s">
        <v>11</v>
      </c>
      <c r="J8" s="2" t="s">
        <v>4</v>
      </c>
      <c r="K8" s="2" t="s">
        <v>5</v>
      </c>
      <c r="L8" s="3" t="s">
        <v>6</v>
      </c>
      <c r="M8" s="3" t="s">
        <v>7</v>
      </c>
      <c r="N8" s="3" t="s">
        <v>8</v>
      </c>
      <c r="O8" s="6" t="s">
        <v>12</v>
      </c>
      <c r="P8" s="7" t="s">
        <v>15</v>
      </c>
      <c r="Q8" s="5" t="s">
        <v>13</v>
      </c>
      <c r="R8" s="4" t="s">
        <v>14</v>
      </c>
    </row>
    <row r="9" spans="1:18" x14ac:dyDescent="0.25">
      <c r="A9" t="s">
        <v>0</v>
      </c>
      <c r="B9">
        <v>14</v>
      </c>
      <c r="C9">
        <v>0</v>
      </c>
      <c r="D9">
        <v>0</v>
      </c>
      <c r="F9" s="8">
        <f>B9/(B9+B10+B11)</f>
        <v>0.73684210526315785</v>
      </c>
      <c r="G9" s="8">
        <f>C10/(C9+C10+C11)</f>
        <v>0.66666666666666663</v>
      </c>
      <c r="H9" s="8">
        <f>D11/(D9+D10+D11)</f>
        <v>0.875</v>
      </c>
      <c r="I9" s="8">
        <f>B9/(B9+C9+D9)</f>
        <v>1</v>
      </c>
      <c r="J9" s="8">
        <f>C10/(C10+D10+E10)</f>
        <v>0.8</v>
      </c>
      <c r="K9" s="8">
        <f>D11/(B11+C11+D11)</f>
        <v>0.63636363636363635</v>
      </c>
      <c r="L9" s="8">
        <f>2*((F9*I9)/(F9+I9))</f>
        <v>0.8484848484848484</v>
      </c>
      <c r="M9" s="8">
        <f>2*((G9*J9)/(G9+J9))</f>
        <v>0.72727272727272718</v>
      </c>
      <c r="N9" s="8">
        <f>2*((H9*K9)/(H9+K9))</f>
        <v>0.73684210526315785</v>
      </c>
      <c r="O9" s="8">
        <f>AVERAGE(L9:N9)</f>
        <v>0.77086656034024459</v>
      </c>
      <c r="P9" s="8">
        <v>0.75800000000000001</v>
      </c>
      <c r="Q9" s="8">
        <v>0.68300000000000005</v>
      </c>
      <c r="R9" s="8">
        <v>0.61599999999999999</v>
      </c>
    </row>
    <row r="10" spans="1:18" x14ac:dyDescent="0.25">
      <c r="A10" t="s">
        <v>1</v>
      </c>
      <c r="B10">
        <v>3</v>
      </c>
      <c r="C10">
        <v>4</v>
      </c>
      <c r="D10">
        <v>1</v>
      </c>
    </row>
    <row r="11" spans="1:18" x14ac:dyDescent="0.25">
      <c r="A11" t="s">
        <v>2</v>
      </c>
      <c r="B11">
        <v>2</v>
      </c>
      <c r="C11">
        <v>2</v>
      </c>
      <c r="D11">
        <v>7</v>
      </c>
    </row>
    <row r="13" spans="1:18" x14ac:dyDescent="0.25">
      <c r="A13" s="10" t="s">
        <v>18</v>
      </c>
      <c r="B13" s="11"/>
    </row>
    <row r="14" spans="1:18" x14ac:dyDescent="0.25">
      <c r="B14" t="s">
        <v>0</v>
      </c>
      <c r="C14" t="s">
        <v>1</v>
      </c>
      <c r="D14" t="s">
        <v>2</v>
      </c>
      <c r="F14" s="1" t="s">
        <v>10</v>
      </c>
      <c r="G14" s="1" t="s">
        <v>9</v>
      </c>
      <c r="H14" s="1" t="s">
        <v>3</v>
      </c>
      <c r="I14" s="2" t="s">
        <v>11</v>
      </c>
      <c r="J14" s="2" t="s">
        <v>4</v>
      </c>
      <c r="K14" s="2" t="s">
        <v>5</v>
      </c>
      <c r="L14" s="3" t="s">
        <v>6</v>
      </c>
      <c r="M14" s="3" t="s">
        <v>7</v>
      </c>
      <c r="N14" s="3" t="s">
        <v>8</v>
      </c>
      <c r="O14" s="6" t="s">
        <v>12</v>
      </c>
      <c r="P14" s="7" t="s">
        <v>15</v>
      </c>
      <c r="Q14" s="5" t="s">
        <v>13</v>
      </c>
      <c r="R14" s="4" t="s">
        <v>14</v>
      </c>
    </row>
    <row r="15" spans="1:18" x14ac:dyDescent="0.25">
      <c r="A15" t="s">
        <v>0</v>
      </c>
      <c r="B15">
        <v>13</v>
      </c>
      <c r="C15">
        <v>0</v>
      </c>
      <c r="D15">
        <v>1</v>
      </c>
      <c r="F15" s="8">
        <f>B15/(B15+B16+B17)</f>
        <v>0.8666666666666667</v>
      </c>
      <c r="G15" s="8">
        <f>C16/(C15+C16+C17)</f>
        <v>0.83333333333333337</v>
      </c>
      <c r="H15" s="8">
        <f>D17/(D15+D16+D17)</f>
        <v>0.83333333333333337</v>
      </c>
      <c r="I15" s="8">
        <f>B15/(B15+C15+D15)</f>
        <v>0.9285714285714286</v>
      </c>
      <c r="J15" s="8">
        <f>C16/(C16+D16+E16)</f>
        <v>0.83333333333333337</v>
      </c>
      <c r="K15" s="8">
        <f>D17/(B17+C17+D17)</f>
        <v>0.90909090909090906</v>
      </c>
      <c r="L15" s="8">
        <f>2*((F15*I15)/(F15+I15))</f>
        <v>0.89655172413793105</v>
      </c>
      <c r="M15" s="8">
        <f>2*((G15*J15)/(G15+J15))</f>
        <v>0.83333333333333337</v>
      </c>
      <c r="N15" s="8">
        <f>2*((H15*K15)/(H15+K15))</f>
        <v>0.86956521739130432</v>
      </c>
      <c r="O15" s="8">
        <f>AVERAGE(L15:N15)</f>
        <v>0.86648342495418962</v>
      </c>
      <c r="P15" s="8">
        <v>0.84799999999999998</v>
      </c>
      <c r="Q15" s="8">
        <v>0.80800000000000005</v>
      </c>
      <c r="R15" s="8">
        <v>0.76400000000000001</v>
      </c>
    </row>
    <row r="16" spans="1:18" x14ac:dyDescent="0.25">
      <c r="A16" t="s">
        <v>1</v>
      </c>
      <c r="B16">
        <v>2</v>
      </c>
      <c r="C16">
        <v>5</v>
      </c>
      <c r="D16">
        <v>1</v>
      </c>
    </row>
    <row r="17" spans="1:18" x14ac:dyDescent="0.25">
      <c r="A17" t="s">
        <v>2</v>
      </c>
      <c r="B17">
        <v>0</v>
      </c>
      <c r="C17">
        <v>1</v>
      </c>
      <c r="D17">
        <v>10</v>
      </c>
    </row>
    <row r="19" spans="1:18" x14ac:dyDescent="0.25">
      <c r="A19" s="12" t="s">
        <v>19</v>
      </c>
      <c r="B19" s="13"/>
    </row>
    <row r="20" spans="1:18" x14ac:dyDescent="0.25">
      <c r="B20" t="s">
        <v>0</v>
      </c>
      <c r="C20" t="s">
        <v>1</v>
      </c>
      <c r="D20" t="s">
        <v>2</v>
      </c>
      <c r="F20" s="1" t="s">
        <v>10</v>
      </c>
      <c r="G20" s="1" t="s">
        <v>9</v>
      </c>
      <c r="H20" s="1" t="s">
        <v>3</v>
      </c>
      <c r="I20" s="2" t="s">
        <v>11</v>
      </c>
      <c r="J20" s="2" t="s">
        <v>4</v>
      </c>
      <c r="K20" s="2" t="s">
        <v>5</v>
      </c>
      <c r="L20" s="3" t="s">
        <v>6</v>
      </c>
      <c r="M20" s="3" t="s">
        <v>7</v>
      </c>
      <c r="N20" s="3" t="s">
        <v>8</v>
      </c>
      <c r="O20" s="6" t="s">
        <v>12</v>
      </c>
      <c r="P20" s="7" t="s">
        <v>15</v>
      </c>
      <c r="Q20" s="5" t="s">
        <v>13</v>
      </c>
      <c r="R20" s="4" t="s">
        <v>14</v>
      </c>
    </row>
    <row r="21" spans="1:18" x14ac:dyDescent="0.25">
      <c r="A21" t="s">
        <v>0</v>
      </c>
      <c r="B21">
        <v>13</v>
      </c>
      <c r="C21">
        <v>1</v>
      </c>
      <c r="D21">
        <v>0</v>
      </c>
      <c r="F21" s="8">
        <f>B21/(B21+B22+B23)</f>
        <v>0.8125</v>
      </c>
      <c r="G21" s="8">
        <f>C22/(C21+C22+C23)</f>
        <v>0.4</v>
      </c>
      <c r="H21" s="8">
        <f>D23/(D21+D22+D23)</f>
        <v>0.8571428571428571</v>
      </c>
      <c r="I21" s="8">
        <f>B21/(B21+C21+D21)</f>
        <v>0.9285714285714286</v>
      </c>
      <c r="J21" s="8">
        <f>C22/(C22+D22+E22)</f>
        <v>0.8</v>
      </c>
      <c r="K21" s="8">
        <f>D23/(B23+C23+D23)</f>
        <v>0.54545454545454541</v>
      </c>
      <c r="L21" s="8">
        <f>2*((F21*I21)/(F21+I21))</f>
        <v>0.86666666666666659</v>
      </c>
      <c r="M21" s="8">
        <f>2*((G21*J21)/(G21+J21))</f>
        <v>0.53333333333333333</v>
      </c>
      <c r="N21" s="8">
        <f>2*((H21*K21)/(H21+K21))</f>
        <v>0.66666666666666652</v>
      </c>
      <c r="O21" s="8">
        <f>AVERAGE(L21:N21)</f>
        <v>0.68888888888888877</v>
      </c>
      <c r="P21" s="8">
        <v>0.69699999999999995</v>
      </c>
      <c r="Q21" s="8">
        <v>0.63300000000000001</v>
      </c>
      <c r="R21" s="8">
        <v>0.53400000000000003</v>
      </c>
    </row>
    <row r="22" spans="1:18" x14ac:dyDescent="0.25">
      <c r="A22" t="s">
        <v>1</v>
      </c>
      <c r="B22">
        <v>3</v>
      </c>
      <c r="C22">
        <v>4</v>
      </c>
      <c r="D22">
        <v>1</v>
      </c>
    </row>
    <row r="23" spans="1:18" x14ac:dyDescent="0.25">
      <c r="A23" t="s">
        <v>2</v>
      </c>
      <c r="B23">
        <v>0</v>
      </c>
      <c r="C23">
        <v>5</v>
      </c>
      <c r="D23">
        <v>6</v>
      </c>
    </row>
    <row r="25" spans="1:18" x14ac:dyDescent="0.25">
      <c r="A25" s="9" t="s">
        <v>20</v>
      </c>
    </row>
    <row r="26" spans="1:18" x14ac:dyDescent="0.25">
      <c r="B26" t="s">
        <v>0</v>
      </c>
      <c r="C26" t="s">
        <v>1</v>
      </c>
      <c r="D26" t="s">
        <v>2</v>
      </c>
      <c r="F26" s="1" t="s">
        <v>10</v>
      </c>
      <c r="G26" s="1" t="s">
        <v>9</v>
      </c>
      <c r="H26" s="1" t="s">
        <v>3</v>
      </c>
      <c r="I26" s="2" t="s">
        <v>11</v>
      </c>
      <c r="J26" s="2" t="s">
        <v>4</v>
      </c>
      <c r="K26" s="2" t="s">
        <v>5</v>
      </c>
      <c r="L26" s="3" t="s">
        <v>6</v>
      </c>
      <c r="M26" s="3" t="s">
        <v>7</v>
      </c>
      <c r="N26" s="3" t="s">
        <v>8</v>
      </c>
      <c r="O26" s="6" t="s">
        <v>12</v>
      </c>
      <c r="P26" s="7" t="s">
        <v>15</v>
      </c>
      <c r="Q26" s="5" t="s">
        <v>13</v>
      </c>
      <c r="R26" s="4" t="s">
        <v>14</v>
      </c>
    </row>
    <row r="27" spans="1:18" x14ac:dyDescent="0.25">
      <c r="A27" t="s">
        <v>0</v>
      </c>
      <c r="B27">
        <v>13</v>
      </c>
      <c r="C27">
        <v>0</v>
      </c>
      <c r="D27">
        <v>1</v>
      </c>
      <c r="F27" s="8">
        <f>B27/(B27+B28+B29)</f>
        <v>0.8125</v>
      </c>
      <c r="G27" s="8">
        <f>C28/(C27+C28+C29)</f>
        <v>0.55555555555555558</v>
      </c>
      <c r="H27" s="8">
        <f>D29/(D27+D28+D29)</f>
        <v>0.875</v>
      </c>
      <c r="I27" s="8">
        <f>B27/(B27+C27+D27)</f>
        <v>0.9285714285714286</v>
      </c>
      <c r="J27" s="8">
        <f>C28/(C28+D28+E28)</f>
        <v>1</v>
      </c>
      <c r="K27" s="8">
        <f>D29/(B29+C29+D29)</f>
        <v>0.63636363636363635</v>
      </c>
      <c r="L27" s="8">
        <f>2*((F27*I27)/(F27+I27))</f>
        <v>0.86666666666666659</v>
      </c>
      <c r="M27" s="8">
        <f>2*((G27*J27)/(G27+J27))</f>
        <v>0.7142857142857143</v>
      </c>
      <c r="N27" s="8">
        <f>2*((H27*K27)/(H27+K27))</f>
        <v>0.73684210526315785</v>
      </c>
      <c r="O27" s="8">
        <f>AVERAGE(L27:N27)</f>
        <v>0.77259816207184617</v>
      </c>
      <c r="P27" s="8">
        <v>0.75800000000000001</v>
      </c>
      <c r="Q27" s="8">
        <v>0.71699999999999997</v>
      </c>
      <c r="R27" s="8">
        <v>0.626</v>
      </c>
    </row>
    <row r="28" spans="1:18" x14ac:dyDescent="0.25">
      <c r="A28" t="s">
        <v>1</v>
      </c>
      <c r="B28">
        <v>3</v>
      </c>
      <c r="C28">
        <v>5</v>
      </c>
      <c r="D28">
        <v>0</v>
      </c>
    </row>
    <row r="29" spans="1:18" x14ac:dyDescent="0.25">
      <c r="A29" t="s">
        <v>2</v>
      </c>
      <c r="B29">
        <v>0</v>
      </c>
      <c r="C29">
        <v>4</v>
      </c>
      <c r="D29">
        <v>7</v>
      </c>
    </row>
    <row r="31" spans="1:18" x14ac:dyDescent="0.25">
      <c r="A31" s="9" t="s">
        <v>21</v>
      </c>
    </row>
    <row r="32" spans="1:18" x14ac:dyDescent="0.25">
      <c r="B32" t="s">
        <v>0</v>
      </c>
      <c r="C32" t="s">
        <v>1</v>
      </c>
      <c r="D32" t="s">
        <v>2</v>
      </c>
      <c r="F32" s="1" t="s">
        <v>10</v>
      </c>
      <c r="G32" s="1" t="s">
        <v>9</v>
      </c>
      <c r="H32" s="1" t="s">
        <v>3</v>
      </c>
      <c r="I32" s="2" t="s">
        <v>11</v>
      </c>
      <c r="J32" s="2" t="s">
        <v>4</v>
      </c>
      <c r="K32" s="2" t="s">
        <v>5</v>
      </c>
      <c r="L32" s="3" t="s">
        <v>6</v>
      </c>
      <c r="M32" s="3" t="s">
        <v>7</v>
      </c>
      <c r="N32" s="3" t="s">
        <v>8</v>
      </c>
      <c r="O32" s="6" t="s">
        <v>12</v>
      </c>
      <c r="P32" s="7" t="s">
        <v>15</v>
      </c>
      <c r="Q32" s="5" t="s">
        <v>13</v>
      </c>
      <c r="R32" s="4" t="s">
        <v>14</v>
      </c>
    </row>
    <row r="33" spans="1:18" x14ac:dyDescent="0.25">
      <c r="A33" t="s">
        <v>0</v>
      </c>
      <c r="B33">
        <v>13</v>
      </c>
      <c r="C33">
        <v>1</v>
      </c>
      <c r="D33">
        <v>0</v>
      </c>
      <c r="F33" s="8">
        <f>B33/(B33+B34+B35)</f>
        <v>0.8125</v>
      </c>
      <c r="G33" s="8">
        <f>C34/(C33+C34+C35)</f>
        <v>0.4</v>
      </c>
      <c r="H33" s="8">
        <f>D35/(D33+D34+D35)</f>
        <v>0.8571428571428571</v>
      </c>
      <c r="I33" s="8">
        <f>B33/(B33+C33+D33)</f>
        <v>0.9285714285714286</v>
      </c>
      <c r="J33" s="8">
        <f>C34/(C34+D34+E34)</f>
        <v>0.8</v>
      </c>
      <c r="K33" s="8">
        <f>D35/(B35+C35+D35)</f>
        <v>0.54545454545454541</v>
      </c>
      <c r="L33" s="8">
        <f>2*((F33*I33)/(F33+I33))</f>
        <v>0.86666666666666659</v>
      </c>
      <c r="M33" s="8">
        <f>2*((G33*J33)/(G33+J33))</f>
        <v>0.53333333333333333</v>
      </c>
      <c r="N33" s="8">
        <f>2*((H33*K33)/(H33+K33))</f>
        <v>0.66666666666666652</v>
      </c>
      <c r="O33" s="8">
        <f>AVERAGE(L33:N33)</f>
        <v>0.68888888888888877</v>
      </c>
      <c r="P33" s="8">
        <v>0.69699999999999995</v>
      </c>
      <c r="Q33" s="8">
        <v>0.63300000000000001</v>
      </c>
      <c r="R33" s="8">
        <v>0.53400000000000003</v>
      </c>
    </row>
    <row r="34" spans="1:18" x14ac:dyDescent="0.25">
      <c r="A34" t="s">
        <v>1</v>
      </c>
      <c r="B34">
        <v>3</v>
      </c>
      <c r="C34">
        <v>4</v>
      </c>
      <c r="D34">
        <v>1</v>
      </c>
    </row>
    <row r="35" spans="1:18" x14ac:dyDescent="0.25">
      <c r="A35" t="s">
        <v>2</v>
      </c>
      <c r="B35">
        <v>0</v>
      </c>
      <c r="C35">
        <v>5</v>
      </c>
      <c r="D35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"/>
  <sheetViews>
    <sheetView topLeftCell="A13" workbookViewId="0">
      <selection activeCell="P33" sqref="P33"/>
    </sheetView>
  </sheetViews>
  <sheetFormatPr baseColWidth="10" defaultRowHeight="15" x14ac:dyDescent="0.25"/>
  <cols>
    <col min="2" max="2" width="8" customWidth="1"/>
    <col min="3" max="3" width="9.140625" customWidth="1"/>
    <col min="4" max="4" width="7.7109375" customWidth="1"/>
    <col min="5" max="5" width="4.28515625" customWidth="1"/>
    <col min="6" max="6" width="11.42578125" customWidth="1"/>
    <col min="7" max="7" width="11.5703125" customWidth="1"/>
    <col min="8" max="8" width="12.140625" customWidth="1"/>
    <col min="9" max="9" width="10.7109375" customWidth="1"/>
    <col min="10" max="10" width="9.140625" customWidth="1"/>
    <col min="11" max="11" width="9.28515625" customWidth="1"/>
    <col min="12" max="12" width="10.42578125" customWidth="1"/>
    <col min="13" max="13" width="10.140625" customWidth="1"/>
    <col min="14" max="14" width="7.7109375" customWidth="1"/>
    <col min="15" max="15" width="9.42578125" customWidth="1"/>
    <col min="16" max="16" width="9" customWidth="1"/>
    <col min="18" max="18" width="14" customWidth="1"/>
  </cols>
  <sheetData>
    <row r="1" spans="1:18" x14ac:dyDescent="0.25">
      <c r="A1" s="9" t="s">
        <v>16</v>
      </c>
    </row>
    <row r="2" spans="1:18" x14ac:dyDescent="0.25">
      <c r="B2" t="s">
        <v>0</v>
      </c>
      <c r="C2" t="s">
        <v>1</v>
      </c>
      <c r="D2" t="s">
        <v>2</v>
      </c>
      <c r="F2" s="1" t="s">
        <v>10</v>
      </c>
      <c r="G2" s="1" t="s">
        <v>9</v>
      </c>
      <c r="H2" s="1" t="s">
        <v>3</v>
      </c>
      <c r="I2" s="2" t="s">
        <v>11</v>
      </c>
      <c r="J2" s="2" t="s">
        <v>4</v>
      </c>
      <c r="K2" s="2" t="s">
        <v>5</v>
      </c>
      <c r="L2" s="3" t="s">
        <v>6</v>
      </c>
      <c r="M2" s="3" t="s">
        <v>7</v>
      </c>
      <c r="N2" s="3" t="s">
        <v>8</v>
      </c>
      <c r="O2" s="6" t="s">
        <v>12</v>
      </c>
      <c r="P2" s="7" t="s">
        <v>15</v>
      </c>
      <c r="Q2" s="5" t="s">
        <v>13</v>
      </c>
      <c r="R2" s="4" t="s">
        <v>14</v>
      </c>
    </row>
    <row r="3" spans="1:18" x14ac:dyDescent="0.25">
      <c r="A3" t="s">
        <v>0</v>
      </c>
      <c r="B3">
        <v>12</v>
      </c>
      <c r="C3">
        <v>2</v>
      </c>
      <c r="D3">
        <v>0</v>
      </c>
      <c r="F3" s="8">
        <f>B3/(B3+B4+B5)</f>
        <v>1</v>
      </c>
      <c r="G3" s="8">
        <f>C4/(C3+C4+C5)</f>
        <v>0.66666666666666663</v>
      </c>
      <c r="H3" s="8">
        <f>D5/(D3+D4+D5)</f>
        <v>1</v>
      </c>
      <c r="I3" s="8">
        <f>B3/(B3+C3+D3)</f>
        <v>0.8571428571428571</v>
      </c>
      <c r="J3" s="8">
        <f>C4/(C4+D4+E4)</f>
        <v>1</v>
      </c>
      <c r="K3" s="8">
        <f>D5/(B5+C5+D5)</f>
        <v>0.81818181818181823</v>
      </c>
      <c r="L3" s="8">
        <f>2*((F3*I3)/(F3+I3))</f>
        <v>0.92307692307692302</v>
      </c>
      <c r="M3" s="8">
        <f>2*((G3*J3)/(G3+J3))</f>
        <v>0.8</v>
      </c>
      <c r="N3" s="8">
        <f>2*((H3*K3)/(H3+K3))</f>
        <v>0.9</v>
      </c>
      <c r="O3" s="8">
        <f>AVERAGE(L3:N3)</f>
        <v>0.87435897435897436</v>
      </c>
      <c r="P3" s="8">
        <v>0.879</v>
      </c>
      <c r="Q3" s="8">
        <v>0.88800000000000001</v>
      </c>
      <c r="R3" s="8">
        <v>0.81799999999999995</v>
      </c>
    </row>
    <row r="4" spans="1:18" x14ac:dyDescent="0.25">
      <c r="A4" t="s">
        <v>1</v>
      </c>
      <c r="B4">
        <v>0</v>
      </c>
      <c r="C4">
        <v>8</v>
      </c>
      <c r="D4">
        <v>0</v>
      </c>
    </row>
    <row r="5" spans="1:18" x14ac:dyDescent="0.25">
      <c r="A5" t="s">
        <v>2</v>
      </c>
      <c r="B5">
        <v>0</v>
      </c>
      <c r="C5">
        <v>2</v>
      </c>
      <c r="D5">
        <v>9</v>
      </c>
    </row>
    <row r="7" spans="1:18" x14ac:dyDescent="0.25">
      <c r="A7" s="9" t="s">
        <v>17</v>
      </c>
    </row>
    <row r="8" spans="1:18" x14ac:dyDescent="0.25">
      <c r="B8" t="s">
        <v>0</v>
      </c>
      <c r="C8" t="s">
        <v>1</v>
      </c>
      <c r="D8" t="s">
        <v>2</v>
      </c>
      <c r="F8" s="1" t="s">
        <v>10</v>
      </c>
      <c r="G8" s="1" t="s">
        <v>9</v>
      </c>
      <c r="H8" s="1" t="s">
        <v>3</v>
      </c>
      <c r="I8" s="2" t="s">
        <v>11</v>
      </c>
      <c r="J8" s="2" t="s">
        <v>4</v>
      </c>
      <c r="K8" s="2" t="s">
        <v>5</v>
      </c>
      <c r="L8" s="3" t="s">
        <v>6</v>
      </c>
      <c r="M8" s="3" t="s">
        <v>7</v>
      </c>
      <c r="N8" s="3" t="s">
        <v>8</v>
      </c>
      <c r="O8" s="6" t="s">
        <v>12</v>
      </c>
      <c r="P8" s="7" t="s">
        <v>15</v>
      </c>
      <c r="Q8" s="5" t="s">
        <v>13</v>
      </c>
      <c r="R8" s="4" t="s">
        <v>14</v>
      </c>
    </row>
    <row r="9" spans="1:18" x14ac:dyDescent="0.25">
      <c r="A9" t="s">
        <v>0</v>
      </c>
      <c r="B9">
        <v>14</v>
      </c>
      <c r="C9">
        <v>0</v>
      </c>
      <c r="D9">
        <v>0</v>
      </c>
      <c r="F9" s="8">
        <f>B9/(B9+B10+B11)</f>
        <v>0.77777777777777779</v>
      </c>
      <c r="G9" s="8">
        <f>C10/(C9+C10+C11)</f>
        <v>1</v>
      </c>
      <c r="H9" s="8">
        <f>D11/(D9+D10+D11)</f>
        <v>1</v>
      </c>
      <c r="I9" s="8">
        <f>B9/(B9+C9+D9)</f>
        <v>1</v>
      </c>
      <c r="J9" s="8">
        <f>C10/(C10+D10+E10)</f>
        <v>1</v>
      </c>
      <c r="K9" s="8">
        <f>D11/(B11+C11+D11)</f>
        <v>0.81818181818181823</v>
      </c>
      <c r="L9" s="8">
        <f>2*((F9*I9)/(F9+I9))</f>
        <v>0.87500000000000011</v>
      </c>
      <c r="M9" s="8">
        <f>2*((G9*J9)/(G9+J9))</f>
        <v>1</v>
      </c>
      <c r="N9" s="8">
        <f>2*((H9*K9)/(H9+K9))</f>
        <v>0.9</v>
      </c>
      <c r="O9" s="8">
        <f>AVERAGE(L9:N9)</f>
        <v>0.92499999999999993</v>
      </c>
      <c r="P9" s="8">
        <v>0.879</v>
      </c>
      <c r="Q9" s="8">
        <v>0.85</v>
      </c>
      <c r="R9" s="8">
        <v>0.80900000000000005</v>
      </c>
    </row>
    <row r="10" spans="1:18" x14ac:dyDescent="0.25">
      <c r="A10" t="s">
        <v>1</v>
      </c>
      <c r="B10">
        <v>2</v>
      </c>
      <c r="C10">
        <v>6</v>
      </c>
      <c r="D10">
        <v>0</v>
      </c>
    </row>
    <row r="11" spans="1:18" x14ac:dyDescent="0.25">
      <c r="A11" t="s">
        <v>2</v>
      </c>
      <c r="B11">
        <v>2</v>
      </c>
      <c r="C11">
        <v>0</v>
      </c>
      <c r="D11">
        <v>9</v>
      </c>
    </row>
    <row r="13" spans="1:18" x14ac:dyDescent="0.25">
      <c r="A13" s="9" t="s">
        <v>18</v>
      </c>
    </row>
    <row r="14" spans="1:18" x14ac:dyDescent="0.25">
      <c r="B14" t="s">
        <v>0</v>
      </c>
      <c r="C14" t="s">
        <v>1</v>
      </c>
      <c r="D14" t="s">
        <v>2</v>
      </c>
      <c r="F14" s="1" t="s">
        <v>10</v>
      </c>
      <c r="G14" s="1" t="s">
        <v>9</v>
      </c>
      <c r="H14" s="1" t="s">
        <v>3</v>
      </c>
      <c r="I14" s="2" t="s">
        <v>11</v>
      </c>
      <c r="J14" s="2" t="s">
        <v>4</v>
      </c>
      <c r="K14" s="2" t="s">
        <v>5</v>
      </c>
      <c r="L14" s="3" t="s">
        <v>6</v>
      </c>
      <c r="M14" s="3" t="s">
        <v>7</v>
      </c>
      <c r="N14" s="3" t="s">
        <v>8</v>
      </c>
      <c r="O14" s="6" t="s">
        <v>12</v>
      </c>
      <c r="P14" s="7" t="s">
        <v>15</v>
      </c>
      <c r="Q14" s="5" t="s">
        <v>13</v>
      </c>
      <c r="R14" s="4" t="s">
        <v>14</v>
      </c>
    </row>
    <row r="15" spans="1:18" x14ac:dyDescent="0.25">
      <c r="A15" t="s">
        <v>0</v>
      </c>
      <c r="B15">
        <v>13</v>
      </c>
      <c r="C15">
        <v>1</v>
      </c>
      <c r="D15">
        <v>0</v>
      </c>
      <c r="F15" s="8">
        <f>B15/(B15+B16+B17)</f>
        <v>1</v>
      </c>
      <c r="G15" s="8">
        <f>C16/(C15+C16+C17)</f>
        <v>0.72727272727272729</v>
      </c>
      <c r="H15" s="8">
        <f>D17/(D15+D16+D17)</f>
        <v>1</v>
      </c>
      <c r="I15" s="8">
        <f>B15/(B15+C15+D15)</f>
        <v>0.9285714285714286</v>
      </c>
      <c r="J15" s="8">
        <f>C16/(C16+D16+E16)</f>
        <v>1</v>
      </c>
      <c r="K15" s="8">
        <f>D17/(B17+C17+D17)</f>
        <v>0.81818181818181823</v>
      </c>
      <c r="L15" s="8">
        <f>2*((F15*I15)/(F15+I15))</f>
        <v>0.96296296296296302</v>
      </c>
      <c r="M15" s="8">
        <f>2*((G15*J15)/(G15+J15))</f>
        <v>0.8421052631578948</v>
      </c>
      <c r="N15" s="8">
        <f>2*((H15*K15)/(H15+K15))</f>
        <v>0.9</v>
      </c>
      <c r="O15" s="8">
        <f>AVERAGE(L15:N15)</f>
        <v>0.90168940870695258</v>
      </c>
      <c r="P15" s="8">
        <v>0.90900000000000003</v>
      </c>
      <c r="Q15" s="8">
        <v>0.91200000000000003</v>
      </c>
      <c r="R15" s="8">
        <v>0.86299999999999999</v>
      </c>
    </row>
    <row r="16" spans="1:18" x14ac:dyDescent="0.25">
      <c r="A16" t="s">
        <v>1</v>
      </c>
      <c r="B16">
        <v>0</v>
      </c>
      <c r="C16">
        <v>8</v>
      </c>
      <c r="D16">
        <v>0</v>
      </c>
    </row>
    <row r="17" spans="1:18" x14ac:dyDescent="0.25">
      <c r="A17" t="s">
        <v>2</v>
      </c>
      <c r="B17">
        <v>0</v>
      </c>
      <c r="C17">
        <v>2</v>
      </c>
      <c r="D17">
        <v>9</v>
      </c>
    </row>
    <row r="19" spans="1:18" x14ac:dyDescent="0.25">
      <c r="A19" s="10" t="s">
        <v>19</v>
      </c>
      <c r="B19" s="11"/>
    </row>
    <row r="20" spans="1:18" x14ac:dyDescent="0.25">
      <c r="B20" t="s">
        <v>0</v>
      </c>
      <c r="C20" t="s">
        <v>1</v>
      </c>
      <c r="D20" t="s">
        <v>2</v>
      </c>
      <c r="F20" s="1" t="s">
        <v>10</v>
      </c>
      <c r="G20" s="1" t="s">
        <v>9</v>
      </c>
      <c r="H20" s="1" t="s">
        <v>3</v>
      </c>
      <c r="I20" s="2" t="s">
        <v>11</v>
      </c>
      <c r="J20" s="2" t="s">
        <v>4</v>
      </c>
      <c r="K20" s="2" t="s">
        <v>5</v>
      </c>
      <c r="L20" s="3" t="s">
        <v>6</v>
      </c>
      <c r="M20" s="3" t="s">
        <v>7</v>
      </c>
      <c r="N20" s="3" t="s">
        <v>8</v>
      </c>
      <c r="O20" s="6" t="s">
        <v>12</v>
      </c>
      <c r="P20" s="7" t="s">
        <v>15</v>
      </c>
      <c r="Q20" s="5" t="s">
        <v>13</v>
      </c>
      <c r="R20" s="4" t="s">
        <v>14</v>
      </c>
    </row>
    <row r="21" spans="1:18" x14ac:dyDescent="0.25">
      <c r="A21" t="s">
        <v>0</v>
      </c>
      <c r="B21">
        <v>13</v>
      </c>
      <c r="C21">
        <v>1</v>
      </c>
      <c r="D21">
        <v>0</v>
      </c>
      <c r="F21" s="8">
        <f>B21/(B21+B22+B23)</f>
        <v>1</v>
      </c>
      <c r="G21" s="8">
        <f>C22/(C21+C22+C23)</f>
        <v>0.8</v>
      </c>
      <c r="H21" s="8">
        <f>D23/(D21+D22+D23)</f>
        <v>1</v>
      </c>
      <c r="I21" s="8">
        <f>B21/(B21+C21+D21)</f>
        <v>0.9285714285714286</v>
      </c>
      <c r="J21" s="8">
        <f>C22/(C22+D22+E22)</f>
        <v>1</v>
      </c>
      <c r="K21" s="8">
        <f>D23/(B23+C23+D23)</f>
        <v>0.90909090909090906</v>
      </c>
      <c r="L21" s="8">
        <f>2*((F21*I21)/(F21+I21))</f>
        <v>0.96296296296296302</v>
      </c>
      <c r="M21" s="8">
        <f>2*((G21*J21)/(G21+J21))</f>
        <v>0.88888888888888895</v>
      </c>
      <c r="N21" s="8">
        <f>2*((H21*K21)/(H21+K21))</f>
        <v>0.95238095238095233</v>
      </c>
      <c r="O21" s="8">
        <f>AVERAGE(L21:N21)</f>
        <v>0.93474426807760158</v>
      </c>
      <c r="P21" s="8">
        <v>0.93899999999999995</v>
      </c>
      <c r="Q21" s="8">
        <v>0.94499999999999995</v>
      </c>
      <c r="R21" s="8">
        <v>0.90800000000000003</v>
      </c>
    </row>
    <row r="22" spans="1:18" x14ac:dyDescent="0.25">
      <c r="A22" t="s">
        <v>1</v>
      </c>
      <c r="B22">
        <v>0</v>
      </c>
      <c r="C22">
        <v>8</v>
      </c>
      <c r="D22">
        <v>0</v>
      </c>
    </row>
    <row r="23" spans="1:18" x14ac:dyDescent="0.25">
      <c r="A23" t="s">
        <v>2</v>
      </c>
      <c r="B23">
        <v>0</v>
      </c>
      <c r="C23">
        <v>1</v>
      </c>
      <c r="D23">
        <v>10</v>
      </c>
    </row>
    <row r="25" spans="1:18" x14ac:dyDescent="0.25">
      <c r="A25" s="9" t="s">
        <v>20</v>
      </c>
    </row>
    <row r="26" spans="1:18" x14ac:dyDescent="0.25">
      <c r="B26" t="s">
        <v>0</v>
      </c>
      <c r="C26" t="s">
        <v>1</v>
      </c>
      <c r="D26" t="s">
        <v>2</v>
      </c>
      <c r="F26" s="1" t="s">
        <v>10</v>
      </c>
      <c r="G26" s="1" t="s">
        <v>9</v>
      </c>
      <c r="H26" s="1" t="s">
        <v>3</v>
      </c>
      <c r="I26" s="2" t="s">
        <v>11</v>
      </c>
      <c r="J26" s="2" t="s">
        <v>4</v>
      </c>
      <c r="K26" s="2" t="s">
        <v>5</v>
      </c>
      <c r="L26" s="3" t="s">
        <v>6</v>
      </c>
      <c r="M26" s="3" t="s">
        <v>7</v>
      </c>
      <c r="N26" s="3" t="s">
        <v>8</v>
      </c>
      <c r="O26" s="6" t="s">
        <v>12</v>
      </c>
      <c r="P26" s="7" t="s">
        <v>15</v>
      </c>
      <c r="Q26" s="5" t="s">
        <v>13</v>
      </c>
      <c r="R26" s="4" t="s">
        <v>14</v>
      </c>
    </row>
    <row r="27" spans="1:18" x14ac:dyDescent="0.25">
      <c r="A27" t="s">
        <v>0</v>
      </c>
      <c r="B27">
        <v>13</v>
      </c>
      <c r="C27">
        <v>1</v>
      </c>
      <c r="D27">
        <v>0</v>
      </c>
      <c r="F27" s="8">
        <f>B27/(B27+B28+B29)</f>
        <v>1</v>
      </c>
      <c r="G27" s="8">
        <f>C28/(C27+C28+C29)</f>
        <v>0.8</v>
      </c>
      <c r="H27" s="8">
        <f>D29/(D27+D28+D29)</f>
        <v>1</v>
      </c>
      <c r="I27" s="8">
        <f>B27/(B27+C27+D27)</f>
        <v>0.9285714285714286</v>
      </c>
      <c r="J27" s="8">
        <f>C28/(C28+D28+E28)</f>
        <v>1</v>
      </c>
      <c r="K27" s="8">
        <f>D29/(B29+C29+D29)</f>
        <v>0.90909090909090906</v>
      </c>
      <c r="L27" s="8">
        <f>2*((F27*I27)/(F27+I27))</f>
        <v>0.96296296296296302</v>
      </c>
      <c r="M27" s="8">
        <f>2*((G27*J27)/(G27+J27))</f>
        <v>0.88888888888888895</v>
      </c>
      <c r="N27" s="8">
        <f>2*((H27*K27)/(H27+K27))</f>
        <v>0.95238095238095233</v>
      </c>
      <c r="O27" s="8">
        <f>AVERAGE(L27:N27)</f>
        <v>0.93474426807760158</v>
      </c>
      <c r="P27" s="8">
        <v>0.93899999999999995</v>
      </c>
      <c r="Q27" s="8">
        <v>0.94499999999999995</v>
      </c>
      <c r="R27" s="8">
        <v>0.90800000000000003</v>
      </c>
    </row>
    <row r="28" spans="1:18" x14ac:dyDescent="0.25">
      <c r="A28" t="s">
        <v>1</v>
      </c>
      <c r="B28">
        <v>0</v>
      </c>
      <c r="C28">
        <v>8</v>
      </c>
      <c r="D28">
        <v>0</v>
      </c>
    </row>
    <row r="29" spans="1:18" x14ac:dyDescent="0.25">
      <c r="A29" t="s">
        <v>2</v>
      </c>
      <c r="B29">
        <v>0</v>
      </c>
      <c r="C29">
        <v>1</v>
      </c>
      <c r="D29">
        <v>10</v>
      </c>
    </row>
    <row r="31" spans="1:18" x14ac:dyDescent="0.25">
      <c r="A31" s="9" t="s">
        <v>21</v>
      </c>
    </row>
    <row r="32" spans="1:18" x14ac:dyDescent="0.25">
      <c r="B32" t="s">
        <v>0</v>
      </c>
      <c r="C32" t="s">
        <v>1</v>
      </c>
      <c r="D32" t="s">
        <v>2</v>
      </c>
      <c r="F32" s="1" t="s">
        <v>10</v>
      </c>
      <c r="G32" s="1" t="s">
        <v>9</v>
      </c>
      <c r="H32" s="1" t="s">
        <v>3</v>
      </c>
      <c r="I32" s="2" t="s">
        <v>11</v>
      </c>
      <c r="J32" s="2" t="s">
        <v>4</v>
      </c>
      <c r="K32" s="2" t="s">
        <v>5</v>
      </c>
      <c r="L32" s="3" t="s">
        <v>6</v>
      </c>
      <c r="M32" s="3" t="s">
        <v>7</v>
      </c>
      <c r="N32" s="3" t="s">
        <v>8</v>
      </c>
      <c r="O32" s="6" t="s">
        <v>12</v>
      </c>
      <c r="P32" s="7" t="s">
        <v>15</v>
      </c>
      <c r="Q32" s="5" t="s">
        <v>13</v>
      </c>
      <c r="R32" s="4" t="s">
        <v>14</v>
      </c>
    </row>
    <row r="33" spans="1:18" x14ac:dyDescent="0.25">
      <c r="A33" t="s">
        <v>0</v>
      </c>
      <c r="B33">
        <v>13</v>
      </c>
      <c r="C33">
        <v>1</v>
      </c>
      <c r="D33">
        <v>0</v>
      </c>
      <c r="F33" s="8">
        <f>B33/(B33+B34+B35)</f>
        <v>1</v>
      </c>
      <c r="G33" s="8">
        <f>C34/(C33+C34+C35)</f>
        <v>0.8</v>
      </c>
      <c r="H33" s="8">
        <f>D35/(D33+D34+D35)</f>
        <v>1</v>
      </c>
      <c r="I33" s="8">
        <f>B33/(B33+C33+D33)</f>
        <v>0.9285714285714286</v>
      </c>
      <c r="J33" s="8">
        <f>C34/(C34+D34+E34)</f>
        <v>1</v>
      </c>
      <c r="K33" s="8">
        <f>D35/(B35+C35+D35)</f>
        <v>0.90909090909090906</v>
      </c>
      <c r="L33" s="8">
        <f>2*((F33*I33)/(F33+I33))</f>
        <v>0.96296296296296302</v>
      </c>
      <c r="M33" s="8">
        <f>2*((G33*J33)/(G33+J33))</f>
        <v>0.88888888888888895</v>
      </c>
      <c r="N33" s="8">
        <f>2*((H33*K33)/(H33+K33))</f>
        <v>0.95238095238095233</v>
      </c>
      <c r="O33" s="8">
        <f>AVERAGE(L33:N33)</f>
        <v>0.93474426807760158</v>
      </c>
      <c r="P33" s="8">
        <v>0.93899999999999995</v>
      </c>
      <c r="Q33" s="8">
        <v>0.94499999999999995</v>
      </c>
      <c r="R33" s="8">
        <v>0.90800000000000003</v>
      </c>
    </row>
    <row r="34" spans="1:18" x14ac:dyDescent="0.25">
      <c r="A34" t="s">
        <v>1</v>
      </c>
      <c r="B34">
        <v>0</v>
      </c>
      <c r="C34">
        <v>8</v>
      </c>
      <c r="D34">
        <v>0</v>
      </c>
    </row>
    <row r="35" spans="1:18" x14ac:dyDescent="0.25">
      <c r="A35" t="s">
        <v>2</v>
      </c>
      <c r="B35">
        <v>0</v>
      </c>
      <c r="C35">
        <v>1</v>
      </c>
      <c r="D35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"/>
  <sheetViews>
    <sheetView tabSelected="1" workbookViewId="0">
      <selection activeCell="C9" sqref="C9"/>
    </sheetView>
  </sheetViews>
  <sheetFormatPr baseColWidth="10" defaultRowHeight="15" x14ac:dyDescent="0.25"/>
  <cols>
    <col min="2" max="2" width="8" customWidth="1"/>
    <col min="3" max="3" width="9.140625" customWidth="1"/>
    <col min="4" max="4" width="7.7109375" customWidth="1"/>
    <col min="5" max="5" width="4.28515625" customWidth="1"/>
    <col min="6" max="6" width="11.42578125" customWidth="1"/>
    <col min="7" max="7" width="11.5703125" customWidth="1"/>
    <col min="8" max="8" width="12.140625" customWidth="1"/>
    <col min="9" max="9" width="10.7109375" customWidth="1"/>
    <col min="10" max="10" width="9.140625" customWidth="1"/>
    <col min="11" max="11" width="9.28515625" customWidth="1"/>
    <col min="12" max="12" width="10.42578125" customWidth="1"/>
    <col min="13" max="13" width="10.140625" customWidth="1"/>
    <col min="14" max="14" width="7.7109375" customWidth="1"/>
    <col min="15" max="15" width="9.42578125" customWidth="1"/>
    <col min="16" max="16" width="9" customWidth="1"/>
    <col min="18" max="18" width="14" customWidth="1"/>
  </cols>
  <sheetData>
    <row r="1" spans="1:18" x14ac:dyDescent="0.25">
      <c r="A1" s="9" t="s">
        <v>16</v>
      </c>
    </row>
    <row r="2" spans="1:18" x14ac:dyDescent="0.25">
      <c r="B2" t="s">
        <v>0</v>
      </c>
      <c r="C2" t="s">
        <v>1</v>
      </c>
      <c r="D2" t="s">
        <v>2</v>
      </c>
      <c r="F2" s="1" t="s">
        <v>10</v>
      </c>
      <c r="G2" s="1" t="s">
        <v>9</v>
      </c>
      <c r="H2" s="1" t="s">
        <v>3</v>
      </c>
      <c r="I2" s="2" t="s">
        <v>11</v>
      </c>
      <c r="J2" s="2" t="s">
        <v>4</v>
      </c>
      <c r="K2" s="2" t="s">
        <v>5</v>
      </c>
      <c r="L2" s="3" t="s">
        <v>6</v>
      </c>
      <c r="M2" s="3" t="s">
        <v>7</v>
      </c>
      <c r="N2" s="3" t="s">
        <v>8</v>
      </c>
      <c r="O2" s="6" t="s">
        <v>12</v>
      </c>
      <c r="P2" s="7" t="s">
        <v>15</v>
      </c>
      <c r="Q2" s="5" t="s">
        <v>13</v>
      </c>
      <c r="R2" s="4" t="s">
        <v>14</v>
      </c>
    </row>
    <row r="3" spans="1:18" x14ac:dyDescent="0.25">
      <c r="A3" t="s">
        <v>0</v>
      </c>
      <c r="B3">
        <v>13</v>
      </c>
      <c r="C3">
        <v>1</v>
      </c>
      <c r="D3">
        <v>0</v>
      </c>
      <c r="F3" s="8">
        <f>B3/(B3+B4+B5)</f>
        <v>1</v>
      </c>
      <c r="G3" s="8">
        <f>C4/(C3+C4+C5)</f>
        <v>0.72727272727272729</v>
      </c>
      <c r="H3" s="8">
        <f>D5/(D3+D4+D5)</f>
        <v>1</v>
      </c>
      <c r="I3" s="8">
        <f>B3/(B3+C3+D3)</f>
        <v>0.9285714285714286</v>
      </c>
      <c r="J3" s="8">
        <f>C4/(C4+D4+E4)</f>
        <v>1</v>
      </c>
      <c r="K3" s="8">
        <f>D5/(B5+C5+D5)</f>
        <v>0.81818181818181823</v>
      </c>
      <c r="L3" s="8">
        <f>2*((F3*I3)/(F3+I3))</f>
        <v>0.96296296296296302</v>
      </c>
      <c r="M3" s="8">
        <f>2*((G3*J3)/(G3+J3))</f>
        <v>0.8421052631578948</v>
      </c>
      <c r="N3" s="8">
        <f>2*((H3*K3)/(H3+K3))</f>
        <v>0.9</v>
      </c>
      <c r="O3" s="8">
        <f>AVERAGE(L3:N3)</f>
        <v>0.90168940870695258</v>
      </c>
      <c r="P3" s="8">
        <v>0.90900000000000003</v>
      </c>
      <c r="Q3" s="8">
        <v>0.91200000000000003</v>
      </c>
      <c r="R3" s="8">
        <v>0.86299999999999999</v>
      </c>
    </row>
    <row r="4" spans="1:18" x14ac:dyDescent="0.25">
      <c r="A4" t="s">
        <v>1</v>
      </c>
      <c r="B4">
        <v>0</v>
      </c>
      <c r="C4">
        <v>8</v>
      </c>
      <c r="D4">
        <v>0</v>
      </c>
    </row>
    <row r="5" spans="1:18" x14ac:dyDescent="0.25">
      <c r="A5" t="s">
        <v>2</v>
      </c>
      <c r="B5">
        <v>0</v>
      </c>
      <c r="C5">
        <v>2</v>
      </c>
      <c r="D5">
        <v>9</v>
      </c>
    </row>
    <row r="7" spans="1:18" x14ac:dyDescent="0.25">
      <c r="A7" s="9" t="s">
        <v>17</v>
      </c>
    </row>
    <row r="8" spans="1:18" x14ac:dyDescent="0.25">
      <c r="B8" t="s">
        <v>0</v>
      </c>
      <c r="C8" t="s">
        <v>1</v>
      </c>
      <c r="D8" t="s">
        <v>2</v>
      </c>
      <c r="F8" s="1" t="s">
        <v>10</v>
      </c>
      <c r="G8" s="1" t="s">
        <v>9</v>
      </c>
      <c r="H8" s="1" t="s">
        <v>3</v>
      </c>
      <c r="I8" s="2" t="s">
        <v>11</v>
      </c>
      <c r="J8" s="2" t="s">
        <v>4</v>
      </c>
      <c r="K8" s="2" t="s">
        <v>5</v>
      </c>
      <c r="L8" s="3" t="s">
        <v>6</v>
      </c>
      <c r="M8" s="3" t="s">
        <v>7</v>
      </c>
      <c r="N8" s="3" t="s">
        <v>8</v>
      </c>
      <c r="O8" s="6" t="s">
        <v>12</v>
      </c>
      <c r="P8" s="7" t="s">
        <v>15</v>
      </c>
      <c r="Q8" s="5" t="s">
        <v>13</v>
      </c>
      <c r="R8" s="4" t="s">
        <v>14</v>
      </c>
    </row>
    <row r="9" spans="1:18" x14ac:dyDescent="0.25">
      <c r="A9" t="s">
        <v>0</v>
      </c>
      <c r="B9">
        <v>14</v>
      </c>
      <c r="C9">
        <v>0</v>
      </c>
      <c r="D9">
        <v>0</v>
      </c>
      <c r="F9" s="8">
        <f>B9/(B9+B10+B11)</f>
        <v>0.93333333333333335</v>
      </c>
      <c r="G9" s="8">
        <f>C10/(C9+C10+C11)</f>
        <v>0.8</v>
      </c>
      <c r="H9" s="8">
        <f>D11/(D9+D10+D11)</f>
        <v>1</v>
      </c>
      <c r="I9" s="8">
        <f>B9/(B9+C9+D9)</f>
        <v>1</v>
      </c>
      <c r="J9" s="8">
        <f>C10/(C10+D10+E10)</f>
        <v>1</v>
      </c>
      <c r="K9" s="8">
        <f>D11/(B11+C11+D11)</f>
        <v>0.72727272727272729</v>
      </c>
      <c r="L9" s="8">
        <f>2*((F9*I9)/(F9+I9))</f>
        <v>0.96551724137931039</v>
      </c>
      <c r="M9" s="8">
        <f>2*((G9*J9)/(G9+J9))</f>
        <v>0.88888888888888895</v>
      </c>
      <c r="N9" s="8">
        <f>2*((H9*K9)/(H9+K9))</f>
        <v>0.8421052631578948</v>
      </c>
      <c r="O9" s="8">
        <f>AVERAGE(L9:N9)</f>
        <v>0.89883713114203134</v>
      </c>
      <c r="P9" s="8">
        <v>0.90900000000000003</v>
      </c>
      <c r="Q9" s="8">
        <v>0.89900000000000002</v>
      </c>
      <c r="R9" s="8">
        <v>0.86099999999999999</v>
      </c>
    </row>
    <row r="10" spans="1:18" x14ac:dyDescent="0.25">
      <c r="A10" t="s">
        <v>1</v>
      </c>
      <c r="B10">
        <v>0</v>
      </c>
      <c r="C10">
        <v>8</v>
      </c>
      <c r="D10">
        <v>0</v>
      </c>
    </row>
    <row r="11" spans="1:18" x14ac:dyDescent="0.25">
      <c r="A11" t="s">
        <v>2</v>
      </c>
      <c r="B11">
        <v>1</v>
      </c>
      <c r="C11">
        <v>2</v>
      </c>
      <c r="D11">
        <v>8</v>
      </c>
    </row>
    <row r="13" spans="1:18" x14ac:dyDescent="0.25">
      <c r="A13" s="9" t="s">
        <v>18</v>
      </c>
    </row>
    <row r="14" spans="1:18" x14ac:dyDescent="0.25">
      <c r="B14" t="s">
        <v>0</v>
      </c>
      <c r="C14" t="s">
        <v>1</v>
      </c>
      <c r="D14" t="s">
        <v>2</v>
      </c>
      <c r="F14" s="1" t="s">
        <v>10</v>
      </c>
      <c r="G14" s="1" t="s">
        <v>9</v>
      </c>
      <c r="H14" s="1" t="s">
        <v>3</v>
      </c>
      <c r="I14" s="2" t="s">
        <v>11</v>
      </c>
      <c r="J14" s="2" t="s">
        <v>4</v>
      </c>
      <c r="K14" s="2" t="s">
        <v>5</v>
      </c>
      <c r="L14" s="3" t="s">
        <v>6</v>
      </c>
      <c r="M14" s="3" t="s">
        <v>7</v>
      </c>
      <c r="N14" s="3" t="s">
        <v>8</v>
      </c>
      <c r="O14" s="6" t="s">
        <v>12</v>
      </c>
      <c r="P14" s="7" t="s">
        <v>15</v>
      </c>
      <c r="Q14" s="5" t="s">
        <v>13</v>
      </c>
      <c r="R14" s="4" t="s">
        <v>14</v>
      </c>
    </row>
    <row r="15" spans="1:18" x14ac:dyDescent="0.25">
      <c r="A15" t="s">
        <v>0</v>
      </c>
      <c r="B15">
        <v>14</v>
      </c>
      <c r="C15">
        <v>0</v>
      </c>
      <c r="D15">
        <v>0</v>
      </c>
      <c r="F15" s="8">
        <f>B15/(B15+B16+B17)</f>
        <v>1</v>
      </c>
      <c r="G15" s="8">
        <f>C16/(C15+C16+C17)</f>
        <v>0.8</v>
      </c>
      <c r="H15" s="8">
        <f>D17/(D15+D16+D17)</f>
        <v>1</v>
      </c>
      <c r="I15" s="8">
        <f>B15/(B15+C15+D15)</f>
        <v>1</v>
      </c>
      <c r="J15" s="8">
        <f>C16/(C16+D16+E16)</f>
        <v>1</v>
      </c>
      <c r="K15" s="8">
        <f>D17/(B17+C17+D17)</f>
        <v>0.81818181818181823</v>
      </c>
      <c r="L15" s="8">
        <f>2*((F15*I15)/(F15+I15))</f>
        <v>1</v>
      </c>
      <c r="M15" s="8">
        <f>2*((G15*J15)/(G15+J15))</f>
        <v>0.88888888888888895</v>
      </c>
      <c r="N15" s="8">
        <f>2*((H15*K15)/(H15+K15))</f>
        <v>0.9</v>
      </c>
      <c r="O15" s="8">
        <f>AVERAGE(L15:N15)</f>
        <v>0.92962962962962958</v>
      </c>
      <c r="P15" s="8">
        <v>0.93899999999999995</v>
      </c>
      <c r="Q15" s="8">
        <v>0.93500000000000005</v>
      </c>
      <c r="R15" s="8">
        <v>0.90800000000000003</v>
      </c>
    </row>
    <row r="16" spans="1:18" x14ac:dyDescent="0.25">
      <c r="A16" t="s">
        <v>1</v>
      </c>
      <c r="B16">
        <v>0</v>
      </c>
      <c r="C16">
        <v>8</v>
      </c>
      <c r="D16">
        <v>0</v>
      </c>
    </row>
    <row r="17" spans="1:18" x14ac:dyDescent="0.25">
      <c r="A17" t="s">
        <v>2</v>
      </c>
      <c r="B17">
        <v>0</v>
      </c>
      <c r="C17">
        <v>2</v>
      </c>
      <c r="D17">
        <v>9</v>
      </c>
    </row>
    <row r="19" spans="1:18" x14ac:dyDescent="0.25">
      <c r="A19" s="9" t="s">
        <v>19</v>
      </c>
    </row>
    <row r="20" spans="1:18" x14ac:dyDescent="0.25">
      <c r="B20" t="s">
        <v>0</v>
      </c>
      <c r="C20" t="s">
        <v>1</v>
      </c>
      <c r="D20" t="s">
        <v>2</v>
      </c>
      <c r="F20" s="1" t="s">
        <v>10</v>
      </c>
      <c r="G20" s="1" t="s">
        <v>9</v>
      </c>
      <c r="H20" s="1" t="s">
        <v>3</v>
      </c>
      <c r="I20" s="2" t="s">
        <v>11</v>
      </c>
      <c r="J20" s="2" t="s">
        <v>4</v>
      </c>
      <c r="K20" s="2" t="s">
        <v>5</v>
      </c>
      <c r="L20" s="3" t="s">
        <v>6</v>
      </c>
      <c r="M20" s="3" t="s">
        <v>7</v>
      </c>
      <c r="N20" s="3" t="s">
        <v>8</v>
      </c>
      <c r="O20" s="6" t="s">
        <v>12</v>
      </c>
      <c r="P20" s="7" t="s">
        <v>15</v>
      </c>
      <c r="Q20" s="5" t="s">
        <v>13</v>
      </c>
      <c r="R20" s="4" t="s">
        <v>14</v>
      </c>
    </row>
    <row r="21" spans="1:18" x14ac:dyDescent="0.25">
      <c r="A21" t="s">
        <v>0</v>
      </c>
      <c r="B21">
        <v>13</v>
      </c>
      <c r="C21">
        <v>1</v>
      </c>
      <c r="D21">
        <v>0</v>
      </c>
      <c r="F21" s="8">
        <f>B21/(B21+B22+B23)</f>
        <v>1</v>
      </c>
      <c r="G21" s="8">
        <f>C22/(C21+C22+C23)</f>
        <v>0.72727272727272729</v>
      </c>
      <c r="H21" s="8">
        <f>D23/(D21+D22+D23)</f>
        <v>1</v>
      </c>
      <c r="I21" s="8">
        <f>B21/(B21+C21+D21)</f>
        <v>0.9285714285714286</v>
      </c>
      <c r="J21" s="8">
        <f>C22/(C22+D22+E22)</f>
        <v>1</v>
      </c>
      <c r="K21" s="8">
        <f>D23/(B23+C23+D23)</f>
        <v>0.81818181818181823</v>
      </c>
      <c r="L21" s="8">
        <f>2*((F21*I21)/(F21+I21))</f>
        <v>0.96296296296296302</v>
      </c>
      <c r="M21" s="8">
        <f>2*((G21*J21)/(G21+J21))</f>
        <v>0.8421052631578948</v>
      </c>
      <c r="N21" s="8">
        <f>2*((H21*K21)/(H21+K21))</f>
        <v>0.9</v>
      </c>
      <c r="O21" s="8">
        <f>AVERAGE(L21:N21)</f>
        <v>0.90168940870695258</v>
      </c>
      <c r="P21" s="8">
        <v>0.90900000000000003</v>
      </c>
      <c r="Q21" s="8">
        <v>0.91200000000000003</v>
      </c>
      <c r="R21" s="8">
        <v>0.86299999999999999</v>
      </c>
    </row>
    <row r="22" spans="1:18" x14ac:dyDescent="0.25">
      <c r="A22" t="s">
        <v>1</v>
      </c>
      <c r="B22">
        <v>0</v>
      </c>
      <c r="C22">
        <v>8</v>
      </c>
      <c r="D22">
        <v>0</v>
      </c>
    </row>
    <row r="23" spans="1:18" x14ac:dyDescent="0.25">
      <c r="A23" t="s">
        <v>2</v>
      </c>
      <c r="B23">
        <v>0</v>
      </c>
      <c r="C23">
        <v>2</v>
      </c>
      <c r="D23">
        <v>9</v>
      </c>
    </row>
    <row r="25" spans="1:18" x14ac:dyDescent="0.25">
      <c r="A25" s="12" t="s">
        <v>20</v>
      </c>
    </row>
    <row r="26" spans="1:18" x14ac:dyDescent="0.25">
      <c r="B26" t="s">
        <v>0</v>
      </c>
      <c r="C26" t="s">
        <v>1</v>
      </c>
      <c r="D26" t="s">
        <v>2</v>
      </c>
      <c r="F26" s="1" t="s">
        <v>10</v>
      </c>
      <c r="G26" s="1" t="s">
        <v>9</v>
      </c>
      <c r="H26" s="1" t="s">
        <v>3</v>
      </c>
      <c r="I26" s="2" t="s">
        <v>11</v>
      </c>
      <c r="J26" s="2" t="s">
        <v>4</v>
      </c>
      <c r="K26" s="2" t="s">
        <v>5</v>
      </c>
      <c r="L26" s="3" t="s">
        <v>6</v>
      </c>
      <c r="M26" s="3" t="s">
        <v>7</v>
      </c>
      <c r="N26" s="3" t="s">
        <v>8</v>
      </c>
      <c r="O26" s="6" t="s">
        <v>12</v>
      </c>
      <c r="P26" s="7" t="s">
        <v>15</v>
      </c>
      <c r="Q26" s="5" t="s">
        <v>13</v>
      </c>
      <c r="R26" s="4" t="s">
        <v>14</v>
      </c>
    </row>
    <row r="27" spans="1:18" x14ac:dyDescent="0.25">
      <c r="A27" t="s">
        <v>0</v>
      </c>
      <c r="B27">
        <v>13</v>
      </c>
      <c r="C27">
        <v>1</v>
      </c>
      <c r="D27">
        <v>0</v>
      </c>
      <c r="F27" s="8">
        <f>B27/(B27+B28+B29)</f>
        <v>1</v>
      </c>
      <c r="G27" s="8">
        <f>C28/(C27+C28+C29)</f>
        <v>0.8</v>
      </c>
      <c r="H27" s="8">
        <f>D29/(D27+D28+D29)</f>
        <v>1</v>
      </c>
      <c r="I27" s="8">
        <f>B27/(B27+C27+D27)</f>
        <v>0.9285714285714286</v>
      </c>
      <c r="J27" s="8">
        <f>C28/(C28+D28+E28)</f>
        <v>1</v>
      </c>
      <c r="K27" s="8">
        <f>D29/(B29+C29+D29)</f>
        <v>0.90909090909090906</v>
      </c>
      <c r="L27" s="8">
        <f>2*((F27*I27)/(F27+I27))</f>
        <v>0.96296296296296302</v>
      </c>
      <c r="M27" s="8">
        <f>2*((G27*J27)/(G27+J27))</f>
        <v>0.88888888888888895</v>
      </c>
      <c r="N27" s="8">
        <f>2*((H27*K27)/(H27+K27))</f>
        <v>0.95238095238095233</v>
      </c>
      <c r="O27" s="8">
        <f>AVERAGE(L27:N27)</f>
        <v>0.93474426807760158</v>
      </c>
      <c r="P27" s="8">
        <v>0.93899999999999995</v>
      </c>
      <c r="Q27" s="8">
        <v>0.94499999999999995</v>
      </c>
      <c r="R27" s="8">
        <v>0.90800000000000003</v>
      </c>
    </row>
    <row r="28" spans="1:18" x14ac:dyDescent="0.25">
      <c r="A28" t="s">
        <v>1</v>
      </c>
      <c r="B28">
        <v>0</v>
      </c>
      <c r="C28">
        <v>8</v>
      </c>
      <c r="D28">
        <v>0</v>
      </c>
    </row>
    <row r="29" spans="1:18" x14ac:dyDescent="0.25">
      <c r="A29" t="s">
        <v>2</v>
      </c>
      <c r="B29">
        <v>0</v>
      </c>
      <c r="C29">
        <v>1</v>
      </c>
      <c r="D29">
        <v>10</v>
      </c>
    </row>
    <row r="31" spans="1:18" x14ac:dyDescent="0.25">
      <c r="A31" s="10" t="s">
        <v>21</v>
      </c>
    </row>
    <row r="32" spans="1:18" x14ac:dyDescent="0.25">
      <c r="B32" t="s">
        <v>0</v>
      </c>
      <c r="C32" t="s">
        <v>1</v>
      </c>
      <c r="D32" t="s">
        <v>2</v>
      </c>
      <c r="F32" s="1" t="s">
        <v>10</v>
      </c>
      <c r="G32" s="1" t="s">
        <v>9</v>
      </c>
      <c r="H32" s="1" t="s">
        <v>3</v>
      </c>
      <c r="I32" s="2" t="s">
        <v>11</v>
      </c>
      <c r="J32" s="2" t="s">
        <v>4</v>
      </c>
      <c r="K32" s="2" t="s">
        <v>5</v>
      </c>
      <c r="L32" s="3" t="s">
        <v>6</v>
      </c>
      <c r="M32" s="3" t="s">
        <v>7</v>
      </c>
      <c r="N32" s="3" t="s">
        <v>8</v>
      </c>
      <c r="O32" s="6" t="s">
        <v>12</v>
      </c>
      <c r="P32" s="7" t="s">
        <v>15</v>
      </c>
      <c r="Q32" s="5" t="s">
        <v>13</v>
      </c>
      <c r="R32" s="4" t="s">
        <v>14</v>
      </c>
    </row>
    <row r="33" spans="1:18" x14ac:dyDescent="0.25">
      <c r="A33" t="s">
        <v>0</v>
      </c>
      <c r="B33">
        <v>14</v>
      </c>
      <c r="C33">
        <v>0</v>
      </c>
      <c r="D33">
        <v>0</v>
      </c>
      <c r="F33" s="8">
        <f>B33/(B33+B34+B35)</f>
        <v>1</v>
      </c>
      <c r="G33" s="8">
        <f>C34/(C33+C34+C35)</f>
        <v>1</v>
      </c>
      <c r="H33" s="8">
        <f>D35/(D33+D34+D35)</f>
        <v>1</v>
      </c>
      <c r="I33" s="8">
        <f>B33/(B33+C33+D33)</f>
        <v>1</v>
      </c>
      <c r="J33" s="8">
        <f>C34/(C34+D34+E34)</f>
        <v>1</v>
      </c>
      <c r="K33" s="8">
        <f>D35/(B35+C35+D35)</f>
        <v>1</v>
      </c>
      <c r="L33" s="8">
        <f>2*((F33*I33)/(F33+I33))</f>
        <v>1</v>
      </c>
      <c r="M33" s="8">
        <f>2*((G33*J33)/(G33+J33))</f>
        <v>1</v>
      </c>
      <c r="N33" s="8">
        <f>2*((H33*K33)/(H33+K33))</f>
        <v>1</v>
      </c>
      <c r="O33" s="8">
        <f>AVERAGE(L33:N33)</f>
        <v>1</v>
      </c>
      <c r="P33" s="8">
        <v>1</v>
      </c>
      <c r="Q33" s="8">
        <v>1</v>
      </c>
      <c r="R33" s="8">
        <v>1</v>
      </c>
    </row>
    <row r="34" spans="1:18" x14ac:dyDescent="0.25">
      <c r="A34" t="s">
        <v>1</v>
      </c>
      <c r="B34">
        <v>0</v>
      </c>
      <c r="C34">
        <v>8</v>
      </c>
      <c r="D34">
        <v>0</v>
      </c>
    </row>
    <row r="35" spans="1:18" x14ac:dyDescent="0.25">
      <c r="A35" t="s">
        <v>2</v>
      </c>
      <c r="B35">
        <v>0</v>
      </c>
      <c r="C35">
        <v>0</v>
      </c>
      <c r="D35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"/>
  <sheetViews>
    <sheetView workbookViewId="0">
      <selection activeCell="F33" sqref="F33:R33"/>
    </sheetView>
  </sheetViews>
  <sheetFormatPr baseColWidth="10" defaultRowHeight="15" x14ac:dyDescent="0.25"/>
  <cols>
    <col min="2" max="2" width="8" customWidth="1"/>
    <col min="3" max="3" width="9.140625" customWidth="1"/>
    <col min="4" max="4" width="7.7109375" customWidth="1"/>
    <col min="5" max="5" width="4.28515625" customWidth="1"/>
    <col min="6" max="6" width="11.42578125" customWidth="1"/>
    <col min="7" max="7" width="11.5703125" customWidth="1"/>
    <col min="8" max="8" width="12.140625" customWidth="1"/>
    <col min="9" max="9" width="10.7109375" customWidth="1"/>
    <col min="10" max="10" width="9.140625" customWidth="1"/>
    <col min="11" max="11" width="9.28515625" customWidth="1"/>
    <col min="12" max="12" width="10.42578125" customWidth="1"/>
    <col min="13" max="13" width="10.140625" customWidth="1"/>
    <col min="14" max="14" width="7.7109375" customWidth="1"/>
    <col min="15" max="15" width="9.42578125" customWidth="1"/>
    <col min="16" max="16" width="9" customWidth="1"/>
    <col min="18" max="18" width="14" customWidth="1"/>
  </cols>
  <sheetData>
    <row r="1" spans="1:18" x14ac:dyDescent="0.25">
      <c r="A1" s="9" t="s">
        <v>16</v>
      </c>
    </row>
    <row r="2" spans="1:18" x14ac:dyDescent="0.25">
      <c r="B2" t="s">
        <v>0</v>
      </c>
      <c r="C2" t="s">
        <v>1</v>
      </c>
      <c r="D2" t="s">
        <v>2</v>
      </c>
      <c r="F2" s="1" t="s">
        <v>10</v>
      </c>
      <c r="G2" s="1" t="s">
        <v>9</v>
      </c>
      <c r="H2" s="1" t="s">
        <v>3</v>
      </c>
      <c r="I2" s="2" t="s">
        <v>11</v>
      </c>
      <c r="J2" s="2" t="s">
        <v>4</v>
      </c>
      <c r="K2" s="2" t="s">
        <v>5</v>
      </c>
      <c r="L2" s="3" t="s">
        <v>6</v>
      </c>
      <c r="M2" s="3" t="s">
        <v>7</v>
      </c>
      <c r="N2" s="3" t="s">
        <v>8</v>
      </c>
      <c r="O2" s="6" t="s">
        <v>12</v>
      </c>
      <c r="P2" s="7" t="s">
        <v>15</v>
      </c>
      <c r="Q2" s="5" t="s">
        <v>13</v>
      </c>
      <c r="R2" s="4" t="s">
        <v>14</v>
      </c>
    </row>
    <row r="3" spans="1:18" x14ac:dyDescent="0.25">
      <c r="A3" t="s">
        <v>0</v>
      </c>
      <c r="B3">
        <v>12</v>
      </c>
      <c r="C3">
        <v>2</v>
      </c>
      <c r="D3">
        <v>0</v>
      </c>
      <c r="F3" s="8">
        <f>B3/(B3+B4+B5)</f>
        <v>1</v>
      </c>
      <c r="G3" s="8">
        <f>C4/(C3+C4+C5)</f>
        <v>0.66666666666666663</v>
      </c>
      <c r="H3" s="8">
        <f>D5/(D3+D4+D5)</f>
        <v>1</v>
      </c>
      <c r="I3" s="8">
        <f>B3/(B3+C3+D3)</f>
        <v>0.8571428571428571</v>
      </c>
      <c r="J3" s="8">
        <f>C4/(C4+D4+E4)</f>
        <v>1</v>
      </c>
      <c r="K3" s="8">
        <f>D5/(B5+C5+D5)</f>
        <v>0.81818181818181823</v>
      </c>
      <c r="L3" s="8">
        <f>2*((F3*I3)/(F3+I3))</f>
        <v>0.92307692307692302</v>
      </c>
      <c r="M3" s="8">
        <f>2*((G3*J3)/(G3+J3))</f>
        <v>0.8</v>
      </c>
      <c r="N3" s="8">
        <f>2*((H3*K3)/(H3+K3))</f>
        <v>0.9</v>
      </c>
      <c r="O3" s="8">
        <f>AVERAGE(L3:N3)</f>
        <v>0.87435897435897436</v>
      </c>
      <c r="P3" s="8">
        <v>0.879</v>
      </c>
      <c r="Q3" s="8">
        <v>0.88800000000000001</v>
      </c>
      <c r="R3" s="8">
        <v>0.81799999999999995</v>
      </c>
    </row>
    <row r="4" spans="1:18" x14ac:dyDescent="0.25">
      <c r="A4" t="s">
        <v>1</v>
      </c>
      <c r="B4">
        <v>0</v>
      </c>
      <c r="C4">
        <v>8</v>
      </c>
      <c r="D4">
        <v>0</v>
      </c>
    </row>
    <row r="5" spans="1:18" x14ac:dyDescent="0.25">
      <c r="A5" t="s">
        <v>2</v>
      </c>
      <c r="B5">
        <v>0</v>
      </c>
      <c r="C5">
        <v>2</v>
      </c>
      <c r="D5">
        <v>9</v>
      </c>
    </row>
    <row r="7" spans="1:18" x14ac:dyDescent="0.25">
      <c r="A7" s="9" t="s">
        <v>17</v>
      </c>
    </row>
    <row r="8" spans="1:18" x14ac:dyDescent="0.25">
      <c r="B8" t="s">
        <v>0</v>
      </c>
      <c r="C8" t="s">
        <v>1</v>
      </c>
      <c r="D8" t="s">
        <v>2</v>
      </c>
      <c r="F8" s="1" t="s">
        <v>10</v>
      </c>
      <c r="G8" s="1" t="s">
        <v>9</v>
      </c>
      <c r="H8" s="1" t="s">
        <v>3</v>
      </c>
      <c r="I8" s="2" t="s">
        <v>11</v>
      </c>
      <c r="J8" s="2" t="s">
        <v>4</v>
      </c>
      <c r="K8" s="2" t="s">
        <v>5</v>
      </c>
      <c r="L8" s="3" t="s">
        <v>6</v>
      </c>
      <c r="M8" s="3" t="s">
        <v>7</v>
      </c>
      <c r="N8" s="3" t="s">
        <v>8</v>
      </c>
      <c r="O8" s="6" t="s">
        <v>12</v>
      </c>
      <c r="P8" s="7" t="s">
        <v>15</v>
      </c>
      <c r="Q8" s="5" t="s">
        <v>13</v>
      </c>
      <c r="R8" s="4" t="s">
        <v>14</v>
      </c>
    </row>
    <row r="9" spans="1:18" x14ac:dyDescent="0.25">
      <c r="A9" t="s">
        <v>0</v>
      </c>
      <c r="B9">
        <v>13</v>
      </c>
      <c r="C9">
        <v>1</v>
      </c>
      <c r="D9">
        <v>0</v>
      </c>
      <c r="F9" s="8">
        <f>B9/(B9+B10+B11)</f>
        <v>0.8125</v>
      </c>
      <c r="G9" s="8">
        <f>C10/(C9+C10+C11)</f>
        <v>0.88888888888888884</v>
      </c>
      <c r="H9" s="8">
        <f>D11/(D9+D10+D11)</f>
        <v>1</v>
      </c>
      <c r="I9" s="8">
        <f>B9/(B9+C9+D9)</f>
        <v>0.9285714285714286</v>
      </c>
      <c r="J9" s="8">
        <f>C10/(C10+D10+E10)</f>
        <v>1</v>
      </c>
      <c r="K9" s="8">
        <f>D11/(B11+C11+D11)</f>
        <v>0.72727272727272729</v>
      </c>
      <c r="L9" s="8">
        <f>2*((F9*I9)/(F9+I9))</f>
        <v>0.86666666666666659</v>
      </c>
      <c r="M9" s="8">
        <f>2*((G9*J9)/(G9+J9))</f>
        <v>0.94117647058823528</v>
      </c>
      <c r="N9" s="8">
        <f>2*((H9*K9)/(H9+K9))</f>
        <v>0.8421052631578948</v>
      </c>
      <c r="O9" s="8">
        <f>AVERAGE(L9:N9)</f>
        <v>0.88331613347093219</v>
      </c>
      <c r="P9" s="8">
        <v>0.879</v>
      </c>
      <c r="Q9" s="8">
        <v>0.877</v>
      </c>
      <c r="R9" s="8">
        <v>0.81299999999999994</v>
      </c>
    </row>
    <row r="10" spans="1:18" x14ac:dyDescent="0.25">
      <c r="A10" t="s">
        <v>1</v>
      </c>
      <c r="B10">
        <v>0</v>
      </c>
      <c r="C10">
        <v>8</v>
      </c>
      <c r="D10">
        <v>0</v>
      </c>
    </row>
    <row r="11" spans="1:18" x14ac:dyDescent="0.25">
      <c r="A11" t="s">
        <v>2</v>
      </c>
      <c r="B11">
        <v>3</v>
      </c>
      <c r="C11">
        <v>0</v>
      </c>
      <c r="D11">
        <v>8</v>
      </c>
    </row>
    <row r="13" spans="1:18" x14ac:dyDescent="0.25">
      <c r="A13" s="9" t="s">
        <v>18</v>
      </c>
    </row>
    <row r="14" spans="1:18" x14ac:dyDescent="0.25">
      <c r="B14" t="s">
        <v>0</v>
      </c>
      <c r="C14" t="s">
        <v>1</v>
      </c>
      <c r="D14" t="s">
        <v>2</v>
      </c>
      <c r="F14" s="1" t="s">
        <v>10</v>
      </c>
      <c r="G14" s="1" t="s">
        <v>9</v>
      </c>
      <c r="H14" s="1" t="s">
        <v>3</v>
      </c>
      <c r="I14" s="2" t="s">
        <v>11</v>
      </c>
      <c r="J14" s="2" t="s">
        <v>4</v>
      </c>
      <c r="K14" s="2" t="s">
        <v>5</v>
      </c>
      <c r="L14" s="3" t="s">
        <v>6</v>
      </c>
      <c r="M14" s="3" t="s">
        <v>7</v>
      </c>
      <c r="N14" s="3" t="s">
        <v>8</v>
      </c>
      <c r="O14" s="6" t="s">
        <v>12</v>
      </c>
      <c r="P14" s="7" t="s">
        <v>15</v>
      </c>
      <c r="Q14" s="5" t="s">
        <v>13</v>
      </c>
      <c r="R14" s="4" t="s">
        <v>14</v>
      </c>
    </row>
    <row r="15" spans="1:18" x14ac:dyDescent="0.25">
      <c r="A15" t="s">
        <v>0</v>
      </c>
      <c r="B15">
        <v>12</v>
      </c>
      <c r="C15">
        <v>2</v>
      </c>
      <c r="D15">
        <v>0</v>
      </c>
      <c r="F15" s="8">
        <f>B15/(B15+B16+B17)</f>
        <v>0.8571428571428571</v>
      </c>
      <c r="G15" s="8">
        <f>C16/(C15+C16+C17)</f>
        <v>0.8</v>
      </c>
      <c r="H15" s="8">
        <f>D17/(D15+D16+D17)</f>
        <v>1</v>
      </c>
      <c r="I15" s="8">
        <f>B15/(B15+C15+D15)</f>
        <v>0.8571428571428571</v>
      </c>
      <c r="J15" s="8">
        <f>C16/(C16+D16+E16)</f>
        <v>1</v>
      </c>
      <c r="K15" s="8">
        <f>D17/(B17+C17+D17)</f>
        <v>0.81818181818181823</v>
      </c>
      <c r="L15" s="8">
        <f>2*((F15*I15)/(F15+I15))</f>
        <v>0.8571428571428571</v>
      </c>
      <c r="M15" s="8">
        <f>2*((G15*J15)/(G15+J15))</f>
        <v>0.88888888888888895</v>
      </c>
      <c r="N15" s="8">
        <f>2*((H15*K15)/(H15+K15))</f>
        <v>0.9</v>
      </c>
      <c r="O15" s="8">
        <f>AVERAGE(L15:N15)</f>
        <v>0.88201058201058202</v>
      </c>
      <c r="P15" s="8">
        <v>0.879</v>
      </c>
      <c r="Q15" s="8">
        <v>0.88</v>
      </c>
      <c r="R15" s="8">
        <v>0.81499999999999995</v>
      </c>
    </row>
    <row r="16" spans="1:18" x14ac:dyDescent="0.25">
      <c r="A16" t="s">
        <v>1</v>
      </c>
      <c r="B16">
        <v>0</v>
      </c>
      <c r="C16">
        <v>8</v>
      </c>
      <c r="D16">
        <v>0</v>
      </c>
    </row>
    <row r="17" spans="1:18" x14ac:dyDescent="0.25">
      <c r="A17" t="s">
        <v>2</v>
      </c>
      <c r="B17">
        <v>2</v>
      </c>
      <c r="C17">
        <v>0</v>
      </c>
      <c r="D17">
        <v>9</v>
      </c>
    </row>
    <row r="19" spans="1:18" x14ac:dyDescent="0.25">
      <c r="A19" s="9" t="s">
        <v>19</v>
      </c>
    </row>
    <row r="20" spans="1:18" x14ac:dyDescent="0.25">
      <c r="B20" t="s">
        <v>0</v>
      </c>
      <c r="C20" t="s">
        <v>1</v>
      </c>
      <c r="D20" t="s">
        <v>2</v>
      </c>
      <c r="F20" s="1" t="s">
        <v>10</v>
      </c>
      <c r="G20" s="1" t="s">
        <v>9</v>
      </c>
      <c r="H20" s="1" t="s">
        <v>3</v>
      </c>
      <c r="I20" s="2" t="s">
        <v>11</v>
      </c>
      <c r="J20" s="2" t="s">
        <v>4</v>
      </c>
      <c r="K20" s="2" t="s">
        <v>5</v>
      </c>
      <c r="L20" s="3" t="s">
        <v>6</v>
      </c>
      <c r="M20" s="3" t="s">
        <v>7</v>
      </c>
      <c r="N20" s="3" t="s">
        <v>8</v>
      </c>
      <c r="O20" s="6" t="s">
        <v>12</v>
      </c>
      <c r="P20" s="7" t="s">
        <v>15</v>
      </c>
      <c r="Q20" s="5" t="s">
        <v>13</v>
      </c>
      <c r="R20" s="4" t="s">
        <v>14</v>
      </c>
    </row>
    <row r="21" spans="1:18" x14ac:dyDescent="0.25">
      <c r="A21" t="s">
        <v>0</v>
      </c>
      <c r="B21">
        <v>13</v>
      </c>
      <c r="C21">
        <v>1</v>
      </c>
      <c r="D21">
        <v>0</v>
      </c>
      <c r="F21" s="8">
        <f>B21/(B21+B22+B23)</f>
        <v>0.9285714285714286</v>
      </c>
      <c r="G21" s="8">
        <f>C22/(C21+C22+C23)</f>
        <v>0.8</v>
      </c>
      <c r="H21" s="8">
        <f>D23/(D21+D22+D23)</f>
        <v>1</v>
      </c>
      <c r="I21" s="8">
        <f>B21/(B21+C21+D21)</f>
        <v>0.9285714285714286</v>
      </c>
      <c r="J21" s="8">
        <f>C22/(C22+D22+E22)</f>
        <v>1</v>
      </c>
      <c r="K21" s="8">
        <f>D23/(B23+C23+D23)</f>
        <v>0.81818181818181823</v>
      </c>
      <c r="L21" s="8">
        <f>2*((F21*I21)/(F21+I21))</f>
        <v>0.9285714285714286</v>
      </c>
      <c r="M21" s="8">
        <f>2*((G21*J21)/(G21+J21))</f>
        <v>0.88888888888888895</v>
      </c>
      <c r="N21" s="8">
        <f>2*((H21*K21)/(H21+K21))</f>
        <v>0.9</v>
      </c>
      <c r="O21" s="8">
        <f>AVERAGE(L21:N21)</f>
        <v>0.90582010582010586</v>
      </c>
      <c r="P21" s="8">
        <v>0.90900000000000003</v>
      </c>
      <c r="Q21" s="8">
        <v>0.91200000000000003</v>
      </c>
      <c r="R21" s="8">
        <v>0.86099999999999999</v>
      </c>
    </row>
    <row r="22" spans="1:18" x14ac:dyDescent="0.25">
      <c r="A22" t="s">
        <v>1</v>
      </c>
      <c r="B22">
        <v>0</v>
      </c>
      <c r="C22">
        <v>8</v>
      </c>
      <c r="D22">
        <v>0</v>
      </c>
    </row>
    <row r="23" spans="1:18" x14ac:dyDescent="0.25">
      <c r="A23" t="s">
        <v>2</v>
      </c>
      <c r="B23">
        <v>1</v>
      </c>
      <c r="C23">
        <v>1</v>
      </c>
      <c r="D23">
        <v>9</v>
      </c>
    </row>
    <row r="25" spans="1:18" x14ac:dyDescent="0.25">
      <c r="A25" s="12" t="s">
        <v>20</v>
      </c>
    </row>
    <row r="26" spans="1:18" x14ac:dyDescent="0.25">
      <c r="B26" t="s">
        <v>0</v>
      </c>
      <c r="C26" t="s">
        <v>1</v>
      </c>
      <c r="D26" t="s">
        <v>2</v>
      </c>
      <c r="F26" s="1" t="s">
        <v>10</v>
      </c>
      <c r="G26" s="1" t="s">
        <v>9</v>
      </c>
      <c r="H26" s="1" t="s">
        <v>3</v>
      </c>
      <c r="I26" s="2" t="s">
        <v>11</v>
      </c>
      <c r="J26" s="2" t="s">
        <v>4</v>
      </c>
      <c r="K26" s="2" t="s">
        <v>5</v>
      </c>
      <c r="L26" s="3" t="s">
        <v>6</v>
      </c>
      <c r="M26" s="3" t="s">
        <v>7</v>
      </c>
      <c r="N26" s="3" t="s">
        <v>8</v>
      </c>
      <c r="O26" s="6" t="s">
        <v>12</v>
      </c>
      <c r="P26" s="7" t="s">
        <v>15</v>
      </c>
      <c r="Q26" s="5" t="s">
        <v>13</v>
      </c>
      <c r="R26" s="4" t="s">
        <v>14</v>
      </c>
    </row>
    <row r="27" spans="1:18" x14ac:dyDescent="0.25">
      <c r="A27" t="s">
        <v>0</v>
      </c>
      <c r="B27">
        <v>11</v>
      </c>
      <c r="C27">
        <v>3</v>
      </c>
      <c r="D27">
        <v>0</v>
      </c>
      <c r="F27" s="8">
        <f>B27/(B27+B28+B29)</f>
        <v>1</v>
      </c>
      <c r="G27" s="8">
        <f>C28/(C27+C28+C29)</f>
        <v>0.66666666666666663</v>
      </c>
      <c r="H27" s="8">
        <f>D29/(D27+D28+D29)</f>
        <v>1</v>
      </c>
      <c r="I27" s="8">
        <f>B27/(B27+C27+D27)</f>
        <v>0.7857142857142857</v>
      </c>
      <c r="J27" s="8">
        <f>C28/(C28+D28+E28)</f>
        <v>1</v>
      </c>
      <c r="K27" s="8">
        <f>D29/(B29+C29+D29)</f>
        <v>0.90909090909090906</v>
      </c>
      <c r="L27" s="8">
        <f>2*((F27*I27)/(F27+I27))</f>
        <v>0.88</v>
      </c>
      <c r="M27" s="8">
        <f>2*((G27*J27)/(G27+J27))</f>
        <v>0.8</v>
      </c>
      <c r="N27" s="8">
        <f>2*((H27*K27)/(H27+K27))</f>
        <v>0.95238095238095233</v>
      </c>
      <c r="O27" s="8">
        <f>AVERAGE(L27:N27)</f>
        <v>0.87746031746031738</v>
      </c>
      <c r="P27" s="8">
        <v>0.879</v>
      </c>
      <c r="Q27" s="8">
        <v>0.89400000000000002</v>
      </c>
      <c r="R27" s="8">
        <v>0.81899999999999995</v>
      </c>
    </row>
    <row r="28" spans="1:18" x14ac:dyDescent="0.25">
      <c r="A28" t="s">
        <v>1</v>
      </c>
      <c r="B28">
        <v>0</v>
      </c>
      <c r="C28">
        <v>8</v>
      </c>
      <c r="D28">
        <v>0</v>
      </c>
    </row>
    <row r="29" spans="1:18" x14ac:dyDescent="0.25">
      <c r="A29" t="s">
        <v>2</v>
      </c>
      <c r="B29">
        <v>0</v>
      </c>
      <c r="C29">
        <v>1</v>
      </c>
      <c r="D29">
        <v>10</v>
      </c>
    </row>
    <row r="31" spans="1:18" x14ac:dyDescent="0.25">
      <c r="A31" s="10" t="s">
        <v>21</v>
      </c>
    </row>
    <row r="32" spans="1:18" x14ac:dyDescent="0.25">
      <c r="B32" t="s">
        <v>0</v>
      </c>
      <c r="C32" t="s">
        <v>1</v>
      </c>
      <c r="D32" t="s">
        <v>2</v>
      </c>
      <c r="F32" s="1" t="s">
        <v>10</v>
      </c>
      <c r="G32" s="1" t="s">
        <v>9</v>
      </c>
      <c r="H32" s="1" t="s">
        <v>3</v>
      </c>
      <c r="I32" s="2" t="s">
        <v>11</v>
      </c>
      <c r="J32" s="2" t="s">
        <v>4</v>
      </c>
      <c r="K32" s="2" t="s">
        <v>5</v>
      </c>
      <c r="L32" s="3" t="s">
        <v>6</v>
      </c>
      <c r="M32" s="3" t="s">
        <v>7</v>
      </c>
      <c r="N32" s="3" t="s">
        <v>8</v>
      </c>
      <c r="O32" s="6" t="s">
        <v>12</v>
      </c>
      <c r="P32" s="7" t="s">
        <v>15</v>
      </c>
      <c r="Q32" s="5" t="s">
        <v>13</v>
      </c>
      <c r="R32" s="4" t="s">
        <v>14</v>
      </c>
    </row>
    <row r="33" spans="1:18" x14ac:dyDescent="0.25">
      <c r="A33" t="s">
        <v>0</v>
      </c>
      <c r="B33">
        <v>14</v>
      </c>
      <c r="C33">
        <v>0</v>
      </c>
      <c r="D33">
        <v>0</v>
      </c>
      <c r="F33" s="8">
        <f>B33/(B33+B34+B35)</f>
        <v>1</v>
      </c>
      <c r="G33" s="8">
        <f>C34/(C33+C34+C35)</f>
        <v>0.88888888888888884</v>
      </c>
      <c r="H33" s="8">
        <f>D35/(D33+D34+D35)</f>
        <v>1</v>
      </c>
      <c r="I33" s="8">
        <f>B33/(B33+C33+D33)</f>
        <v>1</v>
      </c>
      <c r="J33" s="8">
        <f>C34/(C34+D34+E34)</f>
        <v>1</v>
      </c>
      <c r="K33" s="8">
        <f>D35/(B35+C35+D35)</f>
        <v>0.90909090909090906</v>
      </c>
      <c r="L33" s="8">
        <f>2*((F33*I33)/(F33+I33))</f>
        <v>1</v>
      </c>
      <c r="M33" s="8">
        <f>2*((G33*J33)/(G33+J33))</f>
        <v>0.94117647058823528</v>
      </c>
      <c r="N33" s="8">
        <f>2*((H33*K33)/(H33+K33))</f>
        <v>0.95238095238095233</v>
      </c>
      <c r="O33" s="8">
        <f>AVERAGE(L33:N33)</f>
        <v>0.96451914098972924</v>
      </c>
      <c r="P33" s="8">
        <v>0.97</v>
      </c>
      <c r="Q33" s="8">
        <v>0.96899999999999997</v>
      </c>
      <c r="R33" s="8">
        <v>0.95399999999999996</v>
      </c>
    </row>
    <row r="34" spans="1:18" x14ac:dyDescent="0.25">
      <c r="A34" t="s">
        <v>1</v>
      </c>
      <c r="B34">
        <v>0</v>
      </c>
      <c r="C34">
        <v>8</v>
      </c>
      <c r="D34">
        <v>0</v>
      </c>
    </row>
    <row r="35" spans="1:18" x14ac:dyDescent="0.25">
      <c r="A35" t="s">
        <v>2</v>
      </c>
      <c r="B35">
        <v>0</v>
      </c>
      <c r="C35">
        <v>1</v>
      </c>
      <c r="D35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"/>
  <sheetViews>
    <sheetView topLeftCell="A19" workbookViewId="0">
      <selection activeCell="A13" sqref="A13"/>
    </sheetView>
  </sheetViews>
  <sheetFormatPr baseColWidth="10" defaultRowHeight="15" x14ac:dyDescent="0.25"/>
  <cols>
    <col min="2" max="2" width="8" customWidth="1"/>
    <col min="3" max="3" width="9.140625" customWidth="1"/>
    <col min="4" max="4" width="7.7109375" customWidth="1"/>
    <col min="5" max="5" width="4.28515625" customWidth="1"/>
    <col min="6" max="6" width="11.42578125" customWidth="1"/>
    <col min="7" max="7" width="11.5703125" customWidth="1"/>
    <col min="8" max="8" width="12.140625" customWidth="1"/>
    <col min="9" max="9" width="10.7109375" customWidth="1"/>
    <col min="10" max="10" width="9.140625" customWidth="1"/>
    <col min="11" max="11" width="9.28515625" customWidth="1"/>
    <col min="12" max="12" width="10.42578125" customWidth="1"/>
    <col min="13" max="13" width="10.140625" customWidth="1"/>
    <col min="14" max="14" width="7.7109375" customWidth="1"/>
    <col min="15" max="15" width="9.42578125" customWidth="1"/>
    <col min="16" max="16" width="9" customWidth="1"/>
    <col min="18" max="18" width="14" customWidth="1"/>
  </cols>
  <sheetData>
    <row r="1" spans="1:18" x14ac:dyDescent="0.25">
      <c r="A1" s="9" t="s">
        <v>16</v>
      </c>
    </row>
    <row r="2" spans="1:18" x14ac:dyDescent="0.25">
      <c r="B2" t="s">
        <v>0</v>
      </c>
      <c r="C2" t="s">
        <v>1</v>
      </c>
      <c r="D2" t="s">
        <v>2</v>
      </c>
      <c r="F2" s="1" t="s">
        <v>10</v>
      </c>
      <c r="G2" s="1" t="s">
        <v>9</v>
      </c>
      <c r="H2" s="1" t="s">
        <v>3</v>
      </c>
      <c r="I2" s="2" t="s">
        <v>11</v>
      </c>
      <c r="J2" s="2" t="s">
        <v>4</v>
      </c>
      <c r="K2" s="2" t="s">
        <v>5</v>
      </c>
      <c r="L2" s="3" t="s">
        <v>6</v>
      </c>
      <c r="M2" s="3" t="s">
        <v>7</v>
      </c>
      <c r="N2" s="3" t="s">
        <v>8</v>
      </c>
      <c r="O2" s="6" t="s">
        <v>12</v>
      </c>
      <c r="P2" s="7" t="s">
        <v>15</v>
      </c>
      <c r="Q2" s="5" t="s">
        <v>13</v>
      </c>
      <c r="R2" s="4" t="s">
        <v>14</v>
      </c>
    </row>
    <row r="3" spans="1:18" x14ac:dyDescent="0.25">
      <c r="A3" t="s">
        <v>0</v>
      </c>
      <c r="B3">
        <v>13</v>
      </c>
      <c r="C3">
        <v>1</v>
      </c>
      <c r="D3">
        <v>0</v>
      </c>
      <c r="F3" s="8">
        <f>B3/(B3+B4+B5)</f>
        <v>1</v>
      </c>
      <c r="G3" s="8">
        <f>C4/(C3+C4+C5)</f>
        <v>0.72727272727272729</v>
      </c>
      <c r="H3" s="8">
        <f>D5/(D3+D4+D5)</f>
        <v>1</v>
      </c>
      <c r="I3" s="8">
        <f>B3/(B3+C3+D3)</f>
        <v>0.9285714285714286</v>
      </c>
      <c r="J3" s="8">
        <f>C4/(C4+D4+E4)</f>
        <v>1</v>
      </c>
      <c r="K3" s="8">
        <f>D5/(B5+C5+D5)</f>
        <v>0.81818181818181823</v>
      </c>
      <c r="L3" s="8">
        <f>2*((F3*I3)/(F3+I3))</f>
        <v>0.96296296296296302</v>
      </c>
      <c r="M3" s="8">
        <f>2*((G3*J3)/(G3+J3))</f>
        <v>0.8421052631578948</v>
      </c>
      <c r="N3" s="8">
        <f>2*((H3*K3)/(H3+K3))</f>
        <v>0.9</v>
      </c>
      <c r="O3" s="8">
        <f>AVERAGE(L3:N3)</f>
        <v>0.90168940870695258</v>
      </c>
      <c r="P3" s="8">
        <v>0.90900000000000003</v>
      </c>
      <c r="Q3" s="8">
        <v>0.91200000000000003</v>
      </c>
      <c r="R3" s="8">
        <v>0.86299999999999999</v>
      </c>
    </row>
    <row r="4" spans="1:18" x14ac:dyDescent="0.25">
      <c r="A4" t="s">
        <v>1</v>
      </c>
      <c r="B4">
        <v>0</v>
      </c>
      <c r="C4">
        <v>8</v>
      </c>
      <c r="D4">
        <v>0</v>
      </c>
    </row>
    <row r="5" spans="1:18" x14ac:dyDescent="0.25">
      <c r="A5" t="s">
        <v>2</v>
      </c>
      <c r="B5">
        <v>0</v>
      </c>
      <c r="C5">
        <v>2</v>
      </c>
      <c r="D5">
        <v>9</v>
      </c>
    </row>
    <row r="7" spans="1:18" x14ac:dyDescent="0.25">
      <c r="A7" s="9" t="s">
        <v>17</v>
      </c>
    </row>
    <row r="8" spans="1:18" x14ac:dyDescent="0.25">
      <c r="B8" t="s">
        <v>0</v>
      </c>
      <c r="C8" t="s">
        <v>1</v>
      </c>
      <c r="D8" t="s">
        <v>2</v>
      </c>
      <c r="F8" s="1" t="s">
        <v>10</v>
      </c>
      <c r="G8" s="1" t="s">
        <v>9</v>
      </c>
      <c r="H8" s="1" t="s">
        <v>3</v>
      </c>
      <c r="I8" s="2" t="s">
        <v>11</v>
      </c>
      <c r="J8" s="2" t="s">
        <v>4</v>
      </c>
      <c r="K8" s="2" t="s">
        <v>5</v>
      </c>
      <c r="L8" s="3" t="s">
        <v>6</v>
      </c>
      <c r="M8" s="3" t="s">
        <v>7</v>
      </c>
      <c r="N8" s="3" t="s">
        <v>8</v>
      </c>
      <c r="O8" s="6" t="s">
        <v>12</v>
      </c>
      <c r="P8" s="7" t="s">
        <v>15</v>
      </c>
      <c r="Q8" s="5" t="s">
        <v>13</v>
      </c>
      <c r="R8" s="4" t="s">
        <v>14</v>
      </c>
    </row>
    <row r="9" spans="1:18" x14ac:dyDescent="0.25">
      <c r="A9" t="s">
        <v>0</v>
      </c>
      <c r="B9">
        <v>14</v>
      </c>
      <c r="C9">
        <v>0</v>
      </c>
      <c r="D9">
        <v>0</v>
      </c>
      <c r="F9" s="8">
        <f>B9/(B9+B10+B11)</f>
        <v>1</v>
      </c>
      <c r="G9" s="8">
        <f>C10/(C9+C10+C11)</f>
        <v>0.8</v>
      </c>
      <c r="H9" s="8">
        <f>D11/(D9+D10+D11)</f>
        <v>1</v>
      </c>
      <c r="I9" s="8">
        <f>B9/(B9+C9+D9)</f>
        <v>1</v>
      </c>
      <c r="J9" s="8">
        <f>C10/(C10+D10+E10)</f>
        <v>1</v>
      </c>
      <c r="K9" s="8">
        <f>D11/(B11+C11+D11)</f>
        <v>0.81818181818181823</v>
      </c>
      <c r="L9" s="8">
        <f>2*((F9*I9)/(F9+I9))</f>
        <v>1</v>
      </c>
      <c r="M9" s="8">
        <f>2*((G9*J9)/(G9+J9))</f>
        <v>0.88888888888888895</v>
      </c>
      <c r="N9" s="8">
        <f>2*((H9*K9)/(H9+K9))</f>
        <v>0.9</v>
      </c>
      <c r="O9" s="8">
        <f>AVERAGE(L9:N9)</f>
        <v>0.92962962962962958</v>
      </c>
      <c r="P9" s="8">
        <v>0.93899999999999995</v>
      </c>
      <c r="Q9" s="8">
        <v>0.93500000000000005</v>
      </c>
      <c r="R9" s="8">
        <v>0.90800000000000003</v>
      </c>
    </row>
    <row r="10" spans="1:18" x14ac:dyDescent="0.25">
      <c r="A10" t="s">
        <v>1</v>
      </c>
      <c r="B10">
        <v>0</v>
      </c>
      <c r="C10">
        <v>8</v>
      </c>
      <c r="D10">
        <v>0</v>
      </c>
    </row>
    <row r="11" spans="1:18" x14ac:dyDescent="0.25">
      <c r="A11" t="s">
        <v>2</v>
      </c>
      <c r="B11">
        <v>0</v>
      </c>
      <c r="C11">
        <v>2</v>
      </c>
      <c r="D11">
        <v>9</v>
      </c>
    </row>
    <row r="13" spans="1:18" x14ac:dyDescent="0.25">
      <c r="A13" s="10" t="s">
        <v>18</v>
      </c>
      <c r="B13" s="11"/>
    </row>
    <row r="14" spans="1:18" x14ac:dyDescent="0.25">
      <c r="B14" t="s">
        <v>0</v>
      </c>
      <c r="C14" t="s">
        <v>1</v>
      </c>
      <c r="D14" t="s">
        <v>2</v>
      </c>
      <c r="F14" s="1" t="s">
        <v>10</v>
      </c>
      <c r="G14" s="1" t="s">
        <v>9</v>
      </c>
      <c r="H14" s="1" t="s">
        <v>3</v>
      </c>
      <c r="I14" s="2" t="s">
        <v>11</v>
      </c>
      <c r="J14" s="2" t="s">
        <v>4</v>
      </c>
      <c r="K14" s="2" t="s">
        <v>5</v>
      </c>
      <c r="L14" s="3" t="s">
        <v>6</v>
      </c>
      <c r="M14" s="3" t="s">
        <v>7</v>
      </c>
      <c r="N14" s="3" t="s">
        <v>8</v>
      </c>
      <c r="O14" s="6" t="s">
        <v>12</v>
      </c>
      <c r="P14" s="7" t="s">
        <v>15</v>
      </c>
      <c r="Q14" s="5" t="s">
        <v>13</v>
      </c>
      <c r="R14" s="4" t="s">
        <v>14</v>
      </c>
    </row>
    <row r="15" spans="1:18" x14ac:dyDescent="0.25">
      <c r="A15" t="s">
        <v>0</v>
      </c>
      <c r="B15">
        <v>14</v>
      </c>
      <c r="C15">
        <v>0</v>
      </c>
      <c r="D15">
        <v>0</v>
      </c>
      <c r="F15" s="8">
        <f>B15/(B15+B16+B17)</f>
        <v>1</v>
      </c>
      <c r="G15" s="8">
        <f>C16/(C15+C16+C17)</f>
        <v>1</v>
      </c>
      <c r="H15" s="8">
        <f>D17/(D15+D16+D17)</f>
        <v>1</v>
      </c>
      <c r="I15" s="8">
        <f>B15/(B15+C15+D15)</f>
        <v>1</v>
      </c>
      <c r="J15" s="8">
        <f>C16/(C16+D16+E16)</f>
        <v>1</v>
      </c>
      <c r="K15" s="8">
        <f>D17/(B17+C17+D17)</f>
        <v>1</v>
      </c>
      <c r="L15" s="8">
        <f>2*((F15*I15)/(F15+I15))</f>
        <v>1</v>
      </c>
      <c r="M15" s="8">
        <f>2*((G15*J15)/(G15+J15))</f>
        <v>1</v>
      </c>
      <c r="N15" s="8">
        <f>2*((H15*K15)/(H15+K15))</f>
        <v>1</v>
      </c>
      <c r="O15" s="8">
        <f>AVERAGE(L15:N15)</f>
        <v>1</v>
      </c>
      <c r="P15" s="8">
        <v>1</v>
      </c>
      <c r="Q15" s="8">
        <v>1</v>
      </c>
      <c r="R15" s="8">
        <v>1</v>
      </c>
    </row>
    <row r="16" spans="1:18" x14ac:dyDescent="0.25">
      <c r="A16" t="s">
        <v>1</v>
      </c>
      <c r="B16">
        <v>0</v>
      </c>
      <c r="C16">
        <v>8</v>
      </c>
      <c r="D16">
        <v>0</v>
      </c>
    </row>
    <row r="17" spans="1:18" x14ac:dyDescent="0.25">
      <c r="A17" t="s">
        <v>2</v>
      </c>
      <c r="B17">
        <v>0</v>
      </c>
      <c r="C17">
        <v>0</v>
      </c>
      <c r="D17">
        <v>11</v>
      </c>
    </row>
    <row r="19" spans="1:18" x14ac:dyDescent="0.25">
      <c r="A19" s="9" t="s">
        <v>19</v>
      </c>
    </row>
    <row r="20" spans="1:18" x14ac:dyDescent="0.25">
      <c r="B20" t="s">
        <v>0</v>
      </c>
      <c r="C20" t="s">
        <v>1</v>
      </c>
      <c r="D20" t="s">
        <v>2</v>
      </c>
      <c r="F20" s="1" t="s">
        <v>10</v>
      </c>
      <c r="G20" s="1" t="s">
        <v>9</v>
      </c>
      <c r="H20" s="1" t="s">
        <v>3</v>
      </c>
      <c r="I20" s="2" t="s">
        <v>11</v>
      </c>
      <c r="J20" s="2" t="s">
        <v>4</v>
      </c>
      <c r="K20" s="2" t="s">
        <v>5</v>
      </c>
      <c r="L20" s="3" t="s">
        <v>6</v>
      </c>
      <c r="M20" s="3" t="s">
        <v>7</v>
      </c>
      <c r="N20" s="3" t="s">
        <v>8</v>
      </c>
      <c r="O20" s="6" t="s">
        <v>12</v>
      </c>
      <c r="P20" s="7" t="s">
        <v>15</v>
      </c>
      <c r="Q20" s="5" t="s">
        <v>13</v>
      </c>
      <c r="R20" s="4" t="s">
        <v>14</v>
      </c>
    </row>
    <row r="21" spans="1:18" x14ac:dyDescent="0.25">
      <c r="A21" t="s">
        <v>0</v>
      </c>
      <c r="B21">
        <v>14</v>
      </c>
      <c r="C21">
        <v>0</v>
      </c>
      <c r="D21">
        <v>0</v>
      </c>
      <c r="F21" s="8">
        <f>B21/(B21+B22+B23)</f>
        <v>1</v>
      </c>
      <c r="G21" s="8">
        <f>C22/(C21+C22+C23)</f>
        <v>0.88888888888888884</v>
      </c>
      <c r="H21" s="8">
        <f>D23/(D21+D22+D23)</f>
        <v>1</v>
      </c>
      <c r="I21" s="8">
        <f>B21/(B21+C21+D21)</f>
        <v>1</v>
      </c>
      <c r="J21" s="8">
        <f>C22/(C22+D22+E22)</f>
        <v>1</v>
      </c>
      <c r="K21" s="8">
        <f>D23/(B23+C23+D23)</f>
        <v>0.90909090909090906</v>
      </c>
      <c r="L21" s="8">
        <f>2*((F21*I21)/(F21+I21))</f>
        <v>1</v>
      </c>
      <c r="M21" s="8">
        <f>2*((G21*J21)/(G21+J21))</f>
        <v>0.94117647058823528</v>
      </c>
      <c r="N21" s="8">
        <f>2*((H21*K21)/(H21+K21))</f>
        <v>0.95238095238095233</v>
      </c>
      <c r="O21" s="8">
        <f>AVERAGE(L21:N21)</f>
        <v>0.96451914098972924</v>
      </c>
      <c r="P21" s="8">
        <v>0.97</v>
      </c>
      <c r="Q21" s="8">
        <v>0.96899999999999997</v>
      </c>
      <c r="R21" s="8">
        <v>0.95399999999999996</v>
      </c>
    </row>
    <row r="22" spans="1:18" x14ac:dyDescent="0.25">
      <c r="A22" t="s">
        <v>1</v>
      </c>
      <c r="B22">
        <v>0</v>
      </c>
      <c r="C22">
        <v>8</v>
      </c>
      <c r="D22">
        <v>0</v>
      </c>
    </row>
    <row r="23" spans="1:18" x14ac:dyDescent="0.25">
      <c r="A23" t="s">
        <v>2</v>
      </c>
      <c r="B23">
        <v>0</v>
      </c>
      <c r="C23">
        <v>1</v>
      </c>
      <c r="D23">
        <v>10</v>
      </c>
    </row>
    <row r="25" spans="1:18" x14ac:dyDescent="0.25">
      <c r="A25" s="12" t="s">
        <v>20</v>
      </c>
    </row>
    <row r="26" spans="1:18" x14ac:dyDescent="0.25">
      <c r="B26" t="s">
        <v>0</v>
      </c>
      <c r="C26" t="s">
        <v>1</v>
      </c>
      <c r="D26" t="s">
        <v>2</v>
      </c>
      <c r="F26" s="1" t="s">
        <v>10</v>
      </c>
      <c r="G26" s="1" t="s">
        <v>9</v>
      </c>
      <c r="H26" s="1" t="s">
        <v>3</v>
      </c>
      <c r="I26" s="2" t="s">
        <v>11</v>
      </c>
      <c r="J26" s="2" t="s">
        <v>4</v>
      </c>
      <c r="K26" s="2" t="s">
        <v>5</v>
      </c>
      <c r="L26" s="3" t="s">
        <v>6</v>
      </c>
      <c r="M26" s="3" t="s">
        <v>7</v>
      </c>
      <c r="N26" s="3" t="s">
        <v>8</v>
      </c>
      <c r="O26" s="6" t="s">
        <v>12</v>
      </c>
      <c r="P26" s="7" t="s">
        <v>15</v>
      </c>
      <c r="Q26" s="5" t="s">
        <v>13</v>
      </c>
      <c r="R26" s="4" t="s">
        <v>14</v>
      </c>
    </row>
    <row r="27" spans="1:18" x14ac:dyDescent="0.25">
      <c r="A27" t="s">
        <v>0</v>
      </c>
      <c r="B27">
        <v>13</v>
      </c>
      <c r="C27">
        <v>1</v>
      </c>
      <c r="D27">
        <v>0</v>
      </c>
      <c r="F27" s="8">
        <f>B27/(B27+B28+B29)</f>
        <v>1</v>
      </c>
      <c r="G27" s="8">
        <f>C28/(C27+C28+C29)</f>
        <v>0.8</v>
      </c>
      <c r="H27" s="8">
        <f>D29/(D27+D28+D29)</f>
        <v>1</v>
      </c>
      <c r="I27" s="8">
        <f>B27/(B27+C27+D27)</f>
        <v>0.9285714285714286</v>
      </c>
      <c r="J27" s="8">
        <f>C28/(C28+D28+E28)</f>
        <v>1</v>
      </c>
      <c r="K27" s="8">
        <f>D29/(B29+C29+D29)</f>
        <v>0.90909090909090906</v>
      </c>
      <c r="L27" s="8">
        <f>2*((F27*I27)/(F27+I27))</f>
        <v>0.96296296296296302</v>
      </c>
      <c r="M27" s="8">
        <f>2*((G27*J27)/(G27+J27))</f>
        <v>0.88888888888888895</v>
      </c>
      <c r="N27" s="8">
        <f>2*((H27*K27)/(H27+K27))</f>
        <v>0.95238095238095233</v>
      </c>
      <c r="O27" s="8">
        <f>AVERAGE(L27:N27)</f>
        <v>0.93474426807760158</v>
      </c>
      <c r="P27" s="8">
        <v>0.93899999999999995</v>
      </c>
      <c r="Q27" s="8">
        <v>0.94499999999999995</v>
      </c>
      <c r="R27" s="8">
        <v>0.90800000000000003</v>
      </c>
    </row>
    <row r="28" spans="1:18" x14ac:dyDescent="0.25">
      <c r="A28" t="s">
        <v>1</v>
      </c>
      <c r="B28">
        <v>0</v>
      </c>
      <c r="C28">
        <v>8</v>
      </c>
      <c r="D28">
        <v>0</v>
      </c>
    </row>
    <row r="29" spans="1:18" x14ac:dyDescent="0.25">
      <c r="A29" t="s">
        <v>2</v>
      </c>
      <c r="B29">
        <v>0</v>
      </c>
      <c r="C29">
        <v>1</v>
      </c>
      <c r="D29">
        <v>10</v>
      </c>
    </row>
    <row r="31" spans="1:18" x14ac:dyDescent="0.25">
      <c r="A31" s="12" t="s">
        <v>21</v>
      </c>
    </row>
    <row r="32" spans="1:18" x14ac:dyDescent="0.25">
      <c r="B32" t="s">
        <v>0</v>
      </c>
      <c r="C32" t="s">
        <v>1</v>
      </c>
      <c r="D32" t="s">
        <v>2</v>
      </c>
      <c r="F32" s="1" t="s">
        <v>10</v>
      </c>
      <c r="G32" s="1" t="s">
        <v>9</v>
      </c>
      <c r="H32" s="1" t="s">
        <v>3</v>
      </c>
      <c r="I32" s="2" t="s">
        <v>11</v>
      </c>
      <c r="J32" s="2" t="s">
        <v>4</v>
      </c>
      <c r="K32" s="2" t="s">
        <v>5</v>
      </c>
      <c r="L32" s="3" t="s">
        <v>6</v>
      </c>
      <c r="M32" s="3" t="s">
        <v>7</v>
      </c>
      <c r="N32" s="3" t="s">
        <v>8</v>
      </c>
      <c r="O32" s="6" t="s">
        <v>12</v>
      </c>
      <c r="P32" s="7" t="s">
        <v>15</v>
      </c>
      <c r="Q32" s="5" t="s">
        <v>13</v>
      </c>
      <c r="R32" s="4" t="s">
        <v>14</v>
      </c>
    </row>
    <row r="33" spans="1:18" x14ac:dyDescent="0.25">
      <c r="A33" t="s">
        <v>0</v>
      </c>
      <c r="B33">
        <v>13</v>
      </c>
      <c r="C33">
        <v>1</v>
      </c>
      <c r="D33">
        <v>0</v>
      </c>
      <c r="F33" s="8">
        <f>B33/(B33+B34+B35)</f>
        <v>1</v>
      </c>
      <c r="G33" s="8">
        <f>C34/(C33+C34+C35)</f>
        <v>0.8</v>
      </c>
      <c r="H33" s="8">
        <f>D35/(D33+D34+D35)</f>
        <v>1</v>
      </c>
      <c r="I33" s="8">
        <f>B33/(B33+C33+D33)</f>
        <v>0.9285714285714286</v>
      </c>
      <c r="J33" s="8">
        <f>C34/(C34+D34+E34)</f>
        <v>1</v>
      </c>
      <c r="K33" s="8">
        <f>D35/(B35+C35+D35)</f>
        <v>0.90909090909090906</v>
      </c>
      <c r="L33" s="8">
        <f>2*((F33*I33)/(F33+I33))</f>
        <v>0.96296296296296302</v>
      </c>
      <c r="M33" s="8">
        <f>2*((G33*J33)/(G33+J33))</f>
        <v>0.88888888888888895</v>
      </c>
      <c r="N33" s="8">
        <f>2*((H33*K33)/(H33+K33))</f>
        <v>0.95238095238095233</v>
      </c>
      <c r="O33" s="8">
        <f>AVERAGE(L33:N33)</f>
        <v>0.93474426807760158</v>
      </c>
      <c r="P33" s="8">
        <v>0.93899999999999995</v>
      </c>
      <c r="Q33" s="8">
        <v>0.94499999999999995</v>
      </c>
      <c r="R33" s="8">
        <v>0.90800000000000003</v>
      </c>
    </row>
    <row r="34" spans="1:18" x14ac:dyDescent="0.25">
      <c r="A34" t="s">
        <v>1</v>
      </c>
      <c r="B34">
        <v>0</v>
      </c>
      <c r="C34">
        <v>8</v>
      </c>
      <c r="D34">
        <v>0</v>
      </c>
    </row>
    <row r="35" spans="1:18" x14ac:dyDescent="0.25">
      <c r="A35" t="s">
        <v>2</v>
      </c>
      <c r="B35">
        <v>0</v>
      </c>
      <c r="C35">
        <v>1</v>
      </c>
      <c r="D35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"/>
  <sheetViews>
    <sheetView topLeftCell="A16" workbookViewId="0">
      <selection activeCell="B11" sqref="B11"/>
    </sheetView>
  </sheetViews>
  <sheetFormatPr baseColWidth="10" defaultRowHeight="15" x14ac:dyDescent="0.25"/>
  <cols>
    <col min="2" max="2" width="8" customWidth="1"/>
    <col min="3" max="3" width="9.140625" customWidth="1"/>
    <col min="4" max="4" width="7.7109375" customWidth="1"/>
    <col min="5" max="5" width="4.28515625" customWidth="1"/>
    <col min="6" max="6" width="11.42578125" customWidth="1"/>
    <col min="7" max="7" width="11.5703125" customWidth="1"/>
    <col min="8" max="8" width="12.140625" customWidth="1"/>
    <col min="9" max="9" width="10.7109375" customWidth="1"/>
    <col min="10" max="10" width="9.140625" customWidth="1"/>
    <col min="11" max="11" width="9.28515625" customWidth="1"/>
    <col min="12" max="12" width="10.42578125" customWidth="1"/>
    <col min="13" max="13" width="10.140625" customWidth="1"/>
    <col min="14" max="14" width="7.7109375" customWidth="1"/>
    <col min="15" max="15" width="9.42578125" customWidth="1"/>
    <col min="16" max="16" width="9" customWidth="1"/>
    <col min="18" max="18" width="14" customWidth="1"/>
  </cols>
  <sheetData>
    <row r="1" spans="1:18" x14ac:dyDescent="0.25">
      <c r="A1" s="9" t="s">
        <v>16</v>
      </c>
    </row>
    <row r="2" spans="1:18" x14ac:dyDescent="0.25">
      <c r="B2" t="s">
        <v>0</v>
      </c>
      <c r="C2" t="s">
        <v>1</v>
      </c>
      <c r="D2" t="s">
        <v>2</v>
      </c>
      <c r="F2" s="1" t="s">
        <v>10</v>
      </c>
      <c r="G2" s="1" t="s">
        <v>9</v>
      </c>
      <c r="H2" s="1" t="s">
        <v>3</v>
      </c>
      <c r="I2" s="2" t="s">
        <v>11</v>
      </c>
      <c r="J2" s="2" t="s">
        <v>4</v>
      </c>
      <c r="K2" s="2" t="s">
        <v>5</v>
      </c>
      <c r="L2" s="3" t="s">
        <v>6</v>
      </c>
      <c r="M2" s="3" t="s">
        <v>7</v>
      </c>
      <c r="N2" s="3" t="s">
        <v>8</v>
      </c>
      <c r="O2" s="6" t="s">
        <v>12</v>
      </c>
      <c r="P2" s="7" t="s">
        <v>15</v>
      </c>
      <c r="Q2" s="5" t="s">
        <v>13</v>
      </c>
      <c r="R2" s="4" t="s">
        <v>14</v>
      </c>
    </row>
    <row r="3" spans="1:18" x14ac:dyDescent="0.25">
      <c r="A3" t="s">
        <v>0</v>
      </c>
      <c r="B3">
        <v>13</v>
      </c>
      <c r="C3">
        <v>1</v>
      </c>
      <c r="D3">
        <v>0</v>
      </c>
      <c r="F3" s="8">
        <f>B3/(B3+B4+B5)</f>
        <v>0.8666666666666667</v>
      </c>
      <c r="G3" s="8">
        <f>C4/(C3+C4+C5)</f>
        <v>0.88888888888888884</v>
      </c>
      <c r="H3" s="8">
        <f>D5/(D3+D4+D5)</f>
        <v>1</v>
      </c>
      <c r="I3" s="8">
        <f>B3/(B3+C3+D3)</f>
        <v>0.9285714285714286</v>
      </c>
      <c r="J3" s="8">
        <f>C4/(C4+D4+E4)</f>
        <v>1</v>
      </c>
      <c r="K3" s="8">
        <f>D5/(B5+C5+D5)</f>
        <v>0.81818181818181823</v>
      </c>
      <c r="L3" s="8">
        <f>2*((F3*I3)/(F3+I3))</f>
        <v>0.89655172413793105</v>
      </c>
      <c r="M3" s="8">
        <f>2*((G3*J3)/(G3+J3))</f>
        <v>0.94117647058823528</v>
      </c>
      <c r="N3" s="8">
        <f>2*((H3*K3)/(H3+K3))</f>
        <v>0.9</v>
      </c>
      <c r="O3" s="8">
        <f>AVERAGE(L3:N3)</f>
        <v>0.91257606490872212</v>
      </c>
      <c r="P3" s="8">
        <v>0.90900000000000003</v>
      </c>
      <c r="Q3" s="8">
        <v>0.91200000000000003</v>
      </c>
      <c r="R3" s="8">
        <v>0.86</v>
      </c>
    </row>
    <row r="4" spans="1:18" x14ac:dyDescent="0.25">
      <c r="A4" t="s">
        <v>1</v>
      </c>
      <c r="B4">
        <v>0</v>
      </c>
      <c r="C4">
        <v>8</v>
      </c>
      <c r="D4">
        <v>0</v>
      </c>
    </row>
    <row r="5" spans="1:18" x14ac:dyDescent="0.25">
      <c r="A5" t="s">
        <v>2</v>
      </c>
      <c r="B5">
        <v>2</v>
      </c>
      <c r="C5">
        <v>0</v>
      </c>
      <c r="D5">
        <v>9</v>
      </c>
    </row>
    <row r="7" spans="1:18" x14ac:dyDescent="0.25">
      <c r="A7" s="9" t="s">
        <v>17</v>
      </c>
    </row>
    <row r="8" spans="1:18" x14ac:dyDescent="0.25">
      <c r="B8" t="s">
        <v>0</v>
      </c>
      <c r="C8" t="s">
        <v>1</v>
      </c>
      <c r="D8" t="s">
        <v>2</v>
      </c>
      <c r="F8" s="1" t="s">
        <v>10</v>
      </c>
      <c r="G8" s="1" t="s">
        <v>9</v>
      </c>
      <c r="H8" s="1" t="s">
        <v>3</v>
      </c>
      <c r="I8" s="2" t="s">
        <v>11</v>
      </c>
      <c r="J8" s="2" t="s">
        <v>4</v>
      </c>
      <c r="K8" s="2" t="s">
        <v>5</v>
      </c>
      <c r="L8" s="3" t="s">
        <v>6</v>
      </c>
      <c r="M8" s="3" t="s">
        <v>7</v>
      </c>
      <c r="N8" s="3" t="s">
        <v>8</v>
      </c>
      <c r="O8" s="6" t="s">
        <v>12</v>
      </c>
      <c r="P8" s="7" t="s">
        <v>15</v>
      </c>
      <c r="Q8" s="5" t="s">
        <v>13</v>
      </c>
      <c r="R8" s="4" t="s">
        <v>14</v>
      </c>
    </row>
    <row r="9" spans="1:18" x14ac:dyDescent="0.25">
      <c r="A9" t="s">
        <v>0</v>
      </c>
      <c r="B9">
        <v>14</v>
      </c>
      <c r="C9">
        <v>0</v>
      </c>
      <c r="D9">
        <v>0</v>
      </c>
      <c r="F9" s="8">
        <f>B9/(B9+B10+B11)</f>
        <v>0.875</v>
      </c>
      <c r="G9" s="8">
        <f>C10/(C9+C10+C11)</f>
        <v>1</v>
      </c>
      <c r="H9" s="8">
        <f>D11/(D9+D10+D11)</f>
        <v>1</v>
      </c>
      <c r="I9" s="8">
        <f>B9/(B9+C9+D9)</f>
        <v>1</v>
      </c>
      <c r="J9" s="8">
        <f>C10/(C10+D10+E10)</f>
        <v>1</v>
      </c>
      <c r="K9" s="8">
        <f>D11/(B11+C11+D11)</f>
        <v>0.81818181818181823</v>
      </c>
      <c r="L9" s="8">
        <f>2*((F9*I9)/(F9+I9))</f>
        <v>0.93333333333333335</v>
      </c>
      <c r="M9" s="8">
        <f>2*((G9*J9)/(G9+J9))</f>
        <v>1</v>
      </c>
      <c r="N9" s="8">
        <f>2*((H9*K9)/(H9+K9))</f>
        <v>0.9</v>
      </c>
      <c r="O9" s="8">
        <f>AVERAGE(L9:N9)</f>
        <v>0.94444444444444453</v>
      </c>
      <c r="P9" s="8">
        <v>0.93899999999999995</v>
      </c>
      <c r="Q9" s="8">
        <v>0.93500000000000005</v>
      </c>
      <c r="R9" s="8">
        <v>0.90600000000000003</v>
      </c>
    </row>
    <row r="10" spans="1:18" x14ac:dyDescent="0.25">
      <c r="A10" t="s">
        <v>1</v>
      </c>
      <c r="B10">
        <v>0</v>
      </c>
      <c r="C10">
        <v>8</v>
      </c>
      <c r="D10">
        <v>0</v>
      </c>
    </row>
    <row r="11" spans="1:18" x14ac:dyDescent="0.25">
      <c r="A11" t="s">
        <v>2</v>
      </c>
      <c r="B11">
        <v>2</v>
      </c>
      <c r="C11">
        <v>0</v>
      </c>
      <c r="D11">
        <v>9</v>
      </c>
    </row>
    <row r="13" spans="1:18" x14ac:dyDescent="0.25">
      <c r="A13" s="9" t="s">
        <v>18</v>
      </c>
    </row>
    <row r="14" spans="1:18" x14ac:dyDescent="0.25">
      <c r="B14" t="s">
        <v>0</v>
      </c>
      <c r="C14" t="s">
        <v>1</v>
      </c>
      <c r="D14" t="s">
        <v>2</v>
      </c>
      <c r="F14" s="1" t="s">
        <v>10</v>
      </c>
      <c r="G14" s="1" t="s">
        <v>9</v>
      </c>
      <c r="H14" s="1" t="s">
        <v>3</v>
      </c>
      <c r="I14" s="2" t="s">
        <v>11</v>
      </c>
      <c r="J14" s="2" t="s">
        <v>4</v>
      </c>
      <c r="K14" s="2" t="s">
        <v>5</v>
      </c>
      <c r="L14" s="3" t="s">
        <v>6</v>
      </c>
      <c r="M14" s="3" t="s">
        <v>7</v>
      </c>
      <c r="N14" s="3" t="s">
        <v>8</v>
      </c>
      <c r="O14" s="6" t="s">
        <v>12</v>
      </c>
      <c r="P14" s="7" t="s">
        <v>15</v>
      </c>
      <c r="Q14" s="5" t="s">
        <v>13</v>
      </c>
      <c r="R14" s="4" t="s">
        <v>14</v>
      </c>
    </row>
    <row r="15" spans="1:18" x14ac:dyDescent="0.25">
      <c r="A15" t="s">
        <v>0</v>
      </c>
      <c r="B15">
        <v>13</v>
      </c>
      <c r="C15">
        <v>1</v>
      </c>
      <c r="D15">
        <v>0</v>
      </c>
      <c r="F15" s="8">
        <f>B15/(B15+B16+B17)</f>
        <v>0.8666666666666667</v>
      </c>
      <c r="G15" s="8">
        <f>C16/(C15+C16+C17)</f>
        <v>0.77777777777777779</v>
      </c>
      <c r="H15" s="8">
        <f>D17/(D15+D16+D17)</f>
        <v>1</v>
      </c>
      <c r="I15" s="8">
        <f>B15/(B15+C15+D15)</f>
        <v>0.9285714285714286</v>
      </c>
      <c r="J15" s="8">
        <f>C16/(C16+D16+E16)</f>
        <v>1</v>
      </c>
      <c r="K15" s="8">
        <f>D17/(B17+C17+D17)</f>
        <v>0.81818181818181823</v>
      </c>
      <c r="L15" s="8">
        <f>2*((F15*I15)/(F15+I15))</f>
        <v>0.89655172413793105</v>
      </c>
      <c r="M15" s="8">
        <f>2*((G15*J15)/(G15+J15))</f>
        <v>0.87500000000000011</v>
      </c>
      <c r="N15" s="8">
        <f>2*((H15*K15)/(H15+K15))</f>
        <v>0.9</v>
      </c>
      <c r="O15" s="8">
        <f>AVERAGE(L15:N15)</f>
        <v>0.89051724137931032</v>
      </c>
      <c r="P15" s="8">
        <v>0.879</v>
      </c>
      <c r="Q15" s="8">
        <v>0.873</v>
      </c>
      <c r="R15" s="8">
        <v>0.81399999999999995</v>
      </c>
    </row>
    <row r="16" spans="1:18" x14ac:dyDescent="0.25">
      <c r="A16" t="s">
        <v>1</v>
      </c>
      <c r="B16">
        <v>1</v>
      </c>
      <c r="C16">
        <v>7</v>
      </c>
      <c r="D16">
        <v>0</v>
      </c>
    </row>
    <row r="17" spans="1:18" x14ac:dyDescent="0.25">
      <c r="A17" t="s">
        <v>2</v>
      </c>
      <c r="B17">
        <v>1</v>
      </c>
      <c r="C17">
        <v>1</v>
      </c>
      <c r="D17">
        <v>9</v>
      </c>
    </row>
    <row r="19" spans="1:18" x14ac:dyDescent="0.25">
      <c r="A19" s="9" t="s">
        <v>19</v>
      </c>
    </row>
    <row r="20" spans="1:18" x14ac:dyDescent="0.25">
      <c r="B20" t="s">
        <v>0</v>
      </c>
      <c r="C20" t="s">
        <v>1</v>
      </c>
      <c r="D20" t="s">
        <v>2</v>
      </c>
      <c r="F20" s="1" t="s">
        <v>10</v>
      </c>
      <c r="G20" s="1" t="s">
        <v>9</v>
      </c>
      <c r="H20" s="1" t="s">
        <v>3</v>
      </c>
      <c r="I20" s="2" t="s">
        <v>11</v>
      </c>
      <c r="J20" s="2" t="s">
        <v>4</v>
      </c>
      <c r="K20" s="2" t="s">
        <v>5</v>
      </c>
      <c r="L20" s="3" t="s">
        <v>6</v>
      </c>
      <c r="M20" s="3" t="s">
        <v>7</v>
      </c>
      <c r="N20" s="3" t="s">
        <v>8</v>
      </c>
      <c r="O20" s="6" t="s">
        <v>12</v>
      </c>
      <c r="P20" s="7" t="s">
        <v>15</v>
      </c>
      <c r="Q20" s="5" t="s">
        <v>13</v>
      </c>
      <c r="R20" s="4" t="s">
        <v>14</v>
      </c>
    </row>
    <row r="21" spans="1:18" x14ac:dyDescent="0.25">
      <c r="A21" t="s">
        <v>0</v>
      </c>
      <c r="B21">
        <v>13</v>
      </c>
      <c r="C21">
        <v>1</v>
      </c>
      <c r="D21">
        <v>0</v>
      </c>
      <c r="F21" s="8">
        <f>B21/(B21+B22+B23)</f>
        <v>0.8666666666666667</v>
      </c>
      <c r="G21" s="8">
        <f>C22/(C21+C22+C23)</f>
        <v>0.88888888888888884</v>
      </c>
      <c r="H21" s="8">
        <f>D23/(D21+D22+D23)</f>
        <v>1</v>
      </c>
      <c r="I21" s="8">
        <f>B21/(B21+C21+D21)</f>
        <v>0.9285714285714286</v>
      </c>
      <c r="J21" s="8">
        <f>C22/(C22+D22+E22)</f>
        <v>1</v>
      </c>
      <c r="K21" s="8">
        <f>D23/(B23+C23+D23)</f>
        <v>0.81818181818181823</v>
      </c>
      <c r="L21" s="8">
        <f>2*((F21*I21)/(F21+I21))</f>
        <v>0.89655172413793105</v>
      </c>
      <c r="M21" s="8">
        <f>2*((G21*J21)/(G21+J21))</f>
        <v>0.94117647058823528</v>
      </c>
      <c r="N21" s="8">
        <f>2*((H21*K21)/(H21+K21))</f>
        <v>0.9</v>
      </c>
      <c r="O21" s="8">
        <f>AVERAGE(L21:N21)</f>
        <v>0.91257606490872212</v>
      </c>
      <c r="P21" s="8">
        <v>0.90900000000000003</v>
      </c>
      <c r="Q21" s="8">
        <v>0.91200000000000003</v>
      </c>
      <c r="R21" s="8">
        <v>0.86</v>
      </c>
    </row>
    <row r="22" spans="1:18" x14ac:dyDescent="0.25">
      <c r="A22" t="s">
        <v>1</v>
      </c>
      <c r="B22">
        <v>0</v>
      </c>
      <c r="C22">
        <v>8</v>
      </c>
      <c r="D22">
        <v>0</v>
      </c>
    </row>
    <row r="23" spans="1:18" x14ac:dyDescent="0.25">
      <c r="A23" t="s">
        <v>2</v>
      </c>
      <c r="B23">
        <v>2</v>
      </c>
      <c r="C23">
        <v>0</v>
      </c>
      <c r="D23">
        <v>9</v>
      </c>
    </row>
    <row r="25" spans="1:18" x14ac:dyDescent="0.25">
      <c r="A25" s="10" t="s">
        <v>20</v>
      </c>
      <c r="B25" s="11"/>
    </row>
    <row r="26" spans="1:18" x14ac:dyDescent="0.25">
      <c r="B26" t="s">
        <v>0</v>
      </c>
      <c r="C26" t="s">
        <v>1</v>
      </c>
      <c r="D26" t="s">
        <v>2</v>
      </c>
      <c r="F26" s="1" t="s">
        <v>10</v>
      </c>
      <c r="G26" s="1" t="s">
        <v>9</v>
      </c>
      <c r="H26" s="1" t="s">
        <v>3</v>
      </c>
      <c r="I26" s="2" t="s">
        <v>11</v>
      </c>
      <c r="J26" s="2" t="s">
        <v>4</v>
      </c>
      <c r="K26" s="2" t="s">
        <v>5</v>
      </c>
      <c r="L26" s="3" t="s">
        <v>6</v>
      </c>
      <c r="M26" s="3" t="s">
        <v>7</v>
      </c>
      <c r="N26" s="3" t="s">
        <v>8</v>
      </c>
      <c r="O26" s="6" t="s">
        <v>12</v>
      </c>
      <c r="P26" s="7" t="s">
        <v>15</v>
      </c>
      <c r="Q26" s="5" t="s">
        <v>13</v>
      </c>
      <c r="R26" s="4" t="s">
        <v>14</v>
      </c>
    </row>
    <row r="27" spans="1:18" x14ac:dyDescent="0.25">
      <c r="A27" t="s">
        <v>0</v>
      </c>
      <c r="B27">
        <v>13</v>
      </c>
      <c r="C27">
        <v>1</v>
      </c>
      <c r="D27">
        <v>0</v>
      </c>
      <c r="F27" s="8">
        <f>B27/(B27+B28+B29)</f>
        <v>1</v>
      </c>
      <c r="G27" s="8">
        <f>C28/(C27+C28+C29)</f>
        <v>0.8</v>
      </c>
      <c r="H27" s="8">
        <f>D29/(D27+D28+D29)</f>
        <v>1</v>
      </c>
      <c r="I27" s="8">
        <f>B27/(B27+C27+D27)</f>
        <v>0.9285714285714286</v>
      </c>
      <c r="J27" s="8">
        <f>C28/(C28+D28+E28)</f>
        <v>1</v>
      </c>
      <c r="K27" s="8">
        <f>D29/(B29+C29+D29)</f>
        <v>0.90909090909090906</v>
      </c>
      <c r="L27" s="8">
        <f>2*((F27*I27)/(F27+I27))</f>
        <v>0.96296296296296302</v>
      </c>
      <c r="M27" s="8">
        <f>2*((G27*J27)/(G27+J27))</f>
        <v>0.88888888888888895</v>
      </c>
      <c r="N27" s="8">
        <f>2*((H27*K27)/(H27+K27))</f>
        <v>0.95238095238095233</v>
      </c>
      <c r="O27" s="8">
        <f>AVERAGE(L27:N27)</f>
        <v>0.93474426807760158</v>
      </c>
      <c r="P27" s="8">
        <v>0.93899999999999995</v>
      </c>
      <c r="Q27" s="8">
        <v>0.94499999999999995</v>
      </c>
      <c r="R27" s="8">
        <v>0.90800000000000003</v>
      </c>
    </row>
    <row r="28" spans="1:18" x14ac:dyDescent="0.25">
      <c r="A28" t="s">
        <v>1</v>
      </c>
      <c r="B28">
        <v>0</v>
      </c>
      <c r="C28">
        <v>8</v>
      </c>
      <c r="D28">
        <v>0</v>
      </c>
    </row>
    <row r="29" spans="1:18" x14ac:dyDescent="0.25">
      <c r="A29" t="s">
        <v>2</v>
      </c>
      <c r="B29">
        <v>0</v>
      </c>
      <c r="C29">
        <v>1</v>
      </c>
      <c r="D29">
        <v>10</v>
      </c>
    </row>
    <row r="31" spans="1:18" x14ac:dyDescent="0.25">
      <c r="A31" s="12" t="s">
        <v>21</v>
      </c>
    </row>
    <row r="32" spans="1:18" x14ac:dyDescent="0.25">
      <c r="B32" t="s">
        <v>0</v>
      </c>
      <c r="C32" t="s">
        <v>1</v>
      </c>
      <c r="D32" t="s">
        <v>2</v>
      </c>
      <c r="F32" s="1" t="s">
        <v>10</v>
      </c>
      <c r="G32" s="1" t="s">
        <v>9</v>
      </c>
      <c r="H32" s="1" t="s">
        <v>3</v>
      </c>
      <c r="I32" s="2" t="s">
        <v>11</v>
      </c>
      <c r="J32" s="2" t="s">
        <v>4</v>
      </c>
      <c r="K32" s="2" t="s">
        <v>5</v>
      </c>
      <c r="L32" s="3" t="s">
        <v>6</v>
      </c>
      <c r="M32" s="3" t="s">
        <v>7</v>
      </c>
      <c r="N32" s="3" t="s">
        <v>8</v>
      </c>
      <c r="O32" s="6" t="s">
        <v>12</v>
      </c>
      <c r="P32" s="7" t="s">
        <v>15</v>
      </c>
      <c r="Q32" s="5" t="s">
        <v>13</v>
      </c>
      <c r="R32" s="4" t="s">
        <v>14</v>
      </c>
    </row>
    <row r="33" spans="1:18" x14ac:dyDescent="0.25">
      <c r="A33" t="s">
        <v>0</v>
      </c>
      <c r="B33">
        <v>13</v>
      </c>
      <c r="C33">
        <v>1</v>
      </c>
      <c r="D33">
        <v>0</v>
      </c>
      <c r="F33" s="8">
        <f>B33/(B33+B34+B35)</f>
        <v>0.9285714285714286</v>
      </c>
      <c r="G33" s="8">
        <f>C34/(C33+C34+C35)</f>
        <v>0.8</v>
      </c>
      <c r="H33" s="8">
        <f>D35/(D33+D34+D35)</f>
        <v>1</v>
      </c>
      <c r="I33" s="8">
        <f>B33/(B33+C33+D33)</f>
        <v>0.9285714285714286</v>
      </c>
      <c r="J33" s="8">
        <f>C34/(C34+D34+E34)</f>
        <v>1</v>
      </c>
      <c r="K33" s="8">
        <f>D35/(B35+C35+D35)</f>
        <v>0.81818181818181823</v>
      </c>
      <c r="L33" s="8">
        <f>2*((F33*I33)/(F33+I33))</f>
        <v>0.9285714285714286</v>
      </c>
      <c r="M33" s="8">
        <f>2*((G33*J33)/(G33+J33))</f>
        <v>0.88888888888888895</v>
      </c>
      <c r="N33" s="8">
        <f>2*((H33*K33)/(H33+K33))</f>
        <v>0.9</v>
      </c>
      <c r="O33" s="8">
        <f>AVERAGE(L33:N33)</f>
        <v>0.90582010582010586</v>
      </c>
      <c r="P33" s="8">
        <v>0.90900000000000003</v>
      </c>
      <c r="Q33" s="8">
        <v>0.91200000000000003</v>
      </c>
      <c r="R33" s="8">
        <v>0.86099999999999999</v>
      </c>
    </row>
    <row r="34" spans="1:18" x14ac:dyDescent="0.25">
      <c r="A34" t="s">
        <v>1</v>
      </c>
      <c r="B34">
        <v>0</v>
      </c>
      <c r="C34">
        <v>8</v>
      </c>
      <c r="D34">
        <v>0</v>
      </c>
    </row>
    <row r="35" spans="1:18" x14ac:dyDescent="0.25">
      <c r="A35" t="s">
        <v>2</v>
      </c>
      <c r="B35">
        <v>1</v>
      </c>
      <c r="C35">
        <v>1</v>
      </c>
      <c r="D35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"/>
  <sheetViews>
    <sheetView topLeftCell="A16" workbookViewId="0">
      <selection activeCell="A26" sqref="A26"/>
    </sheetView>
  </sheetViews>
  <sheetFormatPr baseColWidth="10" defaultRowHeight="15" x14ac:dyDescent="0.25"/>
  <cols>
    <col min="2" max="2" width="8" customWidth="1"/>
    <col min="3" max="3" width="9.140625" customWidth="1"/>
    <col min="4" max="4" width="7.7109375" customWidth="1"/>
    <col min="5" max="5" width="4.28515625" customWidth="1"/>
    <col min="6" max="6" width="11.42578125" customWidth="1"/>
    <col min="7" max="7" width="11.5703125" customWidth="1"/>
    <col min="8" max="8" width="12.140625" customWidth="1"/>
    <col min="9" max="9" width="10.7109375" customWidth="1"/>
    <col min="10" max="10" width="9.140625" customWidth="1"/>
    <col min="11" max="11" width="9.28515625" customWidth="1"/>
    <col min="12" max="12" width="10.42578125" customWidth="1"/>
    <col min="13" max="13" width="10.140625" customWidth="1"/>
    <col min="14" max="14" width="7.7109375" customWidth="1"/>
    <col min="15" max="15" width="9.42578125" customWidth="1"/>
    <col min="16" max="16" width="9" customWidth="1"/>
    <col min="18" max="18" width="14" customWidth="1"/>
  </cols>
  <sheetData>
    <row r="1" spans="1:18" x14ac:dyDescent="0.25">
      <c r="A1" s="9" t="s">
        <v>27</v>
      </c>
    </row>
    <row r="2" spans="1:18" x14ac:dyDescent="0.25">
      <c r="B2" t="s">
        <v>0</v>
      </c>
      <c r="C2" t="s">
        <v>1</v>
      </c>
      <c r="D2" t="s">
        <v>2</v>
      </c>
      <c r="F2" s="1" t="s">
        <v>10</v>
      </c>
      <c r="G2" s="1" t="s">
        <v>9</v>
      </c>
      <c r="H2" s="1" t="s">
        <v>3</v>
      </c>
      <c r="I2" s="2" t="s">
        <v>11</v>
      </c>
      <c r="J2" s="2" t="s">
        <v>4</v>
      </c>
      <c r="K2" s="2" t="s">
        <v>5</v>
      </c>
      <c r="L2" s="3" t="s">
        <v>6</v>
      </c>
      <c r="M2" s="3" t="s">
        <v>7</v>
      </c>
      <c r="N2" s="3" t="s">
        <v>8</v>
      </c>
      <c r="O2" s="6" t="s">
        <v>12</v>
      </c>
      <c r="P2" s="7" t="s">
        <v>15</v>
      </c>
      <c r="Q2" s="5" t="s">
        <v>13</v>
      </c>
      <c r="R2" s="4" t="s">
        <v>14</v>
      </c>
    </row>
    <row r="3" spans="1:18" x14ac:dyDescent="0.25">
      <c r="A3" t="s">
        <v>0</v>
      </c>
      <c r="B3">
        <v>14</v>
      </c>
      <c r="C3">
        <v>0</v>
      </c>
      <c r="D3">
        <v>0</v>
      </c>
      <c r="F3" s="8">
        <f>B3/(B3+B4+B5)</f>
        <v>1</v>
      </c>
      <c r="G3" s="8">
        <f>C4/(C3+C4+C5)</f>
        <v>0.72727272727272729</v>
      </c>
      <c r="H3" s="8">
        <f>D5/(D3+D4+D5)</f>
        <v>1</v>
      </c>
      <c r="I3" s="8">
        <f>B3/(B3+C3+D3)</f>
        <v>1</v>
      </c>
      <c r="J3" s="8">
        <f>C4/(C4+D4+E4)</f>
        <v>1</v>
      </c>
      <c r="K3" s="8">
        <f>D5/(B5+C5+D5)</f>
        <v>0.72727272727272729</v>
      </c>
      <c r="L3" s="8">
        <f>2*((F3*I3)/(F3+I3))</f>
        <v>1</v>
      </c>
      <c r="M3" s="8">
        <f>2*((G3*J3)/(G3+J3))</f>
        <v>0.8421052631578948</v>
      </c>
      <c r="N3" s="8">
        <f>2*((H3*K3)/(H3+K3))</f>
        <v>0.8421052631578948</v>
      </c>
      <c r="O3" s="8">
        <f>AVERAGE(L3:N3)</f>
        <v>0.89473684210526316</v>
      </c>
      <c r="P3" s="8">
        <v>0.90900000000000003</v>
      </c>
      <c r="Q3" s="8">
        <v>0.89900000000000002</v>
      </c>
      <c r="R3" s="8">
        <v>0.86199999999999999</v>
      </c>
    </row>
    <row r="4" spans="1:18" x14ac:dyDescent="0.25">
      <c r="A4" t="s">
        <v>1</v>
      </c>
      <c r="B4">
        <v>0</v>
      </c>
      <c r="C4">
        <v>8</v>
      </c>
      <c r="D4">
        <v>0</v>
      </c>
    </row>
    <row r="5" spans="1:18" x14ac:dyDescent="0.25">
      <c r="A5" t="s">
        <v>2</v>
      </c>
      <c r="B5">
        <v>0</v>
      </c>
      <c r="C5">
        <v>3</v>
      </c>
      <c r="D5">
        <v>8</v>
      </c>
    </row>
    <row r="7" spans="1:18" x14ac:dyDescent="0.25">
      <c r="A7" s="9" t="s">
        <v>26</v>
      </c>
    </row>
    <row r="8" spans="1:18" x14ac:dyDescent="0.25">
      <c r="B8" t="s">
        <v>0</v>
      </c>
      <c r="C8" t="s">
        <v>1</v>
      </c>
      <c r="D8" t="s">
        <v>2</v>
      </c>
      <c r="F8" s="1" t="s">
        <v>10</v>
      </c>
      <c r="G8" s="1" t="s">
        <v>9</v>
      </c>
      <c r="H8" s="1" t="s">
        <v>3</v>
      </c>
      <c r="I8" s="2" t="s">
        <v>11</v>
      </c>
      <c r="J8" s="2" t="s">
        <v>4</v>
      </c>
      <c r="K8" s="2" t="s">
        <v>5</v>
      </c>
      <c r="L8" s="3" t="s">
        <v>6</v>
      </c>
      <c r="M8" s="3" t="s">
        <v>7</v>
      </c>
      <c r="N8" s="3" t="s">
        <v>8</v>
      </c>
      <c r="O8" s="6" t="s">
        <v>12</v>
      </c>
      <c r="P8" s="7" t="s">
        <v>15</v>
      </c>
      <c r="Q8" s="5" t="s">
        <v>13</v>
      </c>
      <c r="R8" s="4" t="s">
        <v>14</v>
      </c>
    </row>
    <row r="9" spans="1:18" x14ac:dyDescent="0.25">
      <c r="A9" t="s">
        <v>0</v>
      </c>
      <c r="B9">
        <v>11</v>
      </c>
      <c r="C9">
        <v>3</v>
      </c>
      <c r="D9">
        <v>0</v>
      </c>
      <c r="F9" s="8">
        <f>B9/(B9+B10+B11)</f>
        <v>1</v>
      </c>
      <c r="G9" s="8">
        <f>C10/(C9+C10+C11)</f>
        <v>0.5714285714285714</v>
      </c>
      <c r="H9" s="8">
        <f>D11/(D9+D10+D11)</f>
        <v>1</v>
      </c>
      <c r="I9" s="8">
        <f>B9/(B9+C9+D9)</f>
        <v>0.7857142857142857</v>
      </c>
      <c r="J9" s="8">
        <f>C10/(C10+D10+E10)</f>
        <v>1</v>
      </c>
      <c r="K9" s="8">
        <f>D11/(B11+C11+D11)</f>
        <v>0.72727272727272729</v>
      </c>
      <c r="L9" s="8">
        <f>2*((F9*I9)/(F9+I9))</f>
        <v>0.88</v>
      </c>
      <c r="M9" s="8">
        <f>2*((G9*J9)/(G9+J9))</f>
        <v>0.72727272727272729</v>
      </c>
      <c r="N9" s="8">
        <f>2*((H9*K9)/(H9+K9))</f>
        <v>0.8421052631578948</v>
      </c>
      <c r="O9" s="8">
        <f>AVERAGE(L9:N9)</f>
        <v>0.81645933014354066</v>
      </c>
      <c r="P9" s="8">
        <v>0.81799999999999995</v>
      </c>
      <c r="Q9" s="8">
        <v>0.83</v>
      </c>
      <c r="R9" s="8">
        <v>0.73099999999999998</v>
      </c>
    </row>
    <row r="10" spans="1:18" x14ac:dyDescent="0.25">
      <c r="A10" t="s">
        <v>1</v>
      </c>
      <c r="B10">
        <v>0</v>
      </c>
      <c r="C10">
        <v>8</v>
      </c>
      <c r="D10">
        <v>0</v>
      </c>
    </row>
    <row r="11" spans="1:18" x14ac:dyDescent="0.25">
      <c r="A11" t="s">
        <v>2</v>
      </c>
      <c r="B11">
        <v>0</v>
      </c>
      <c r="C11">
        <v>3</v>
      </c>
      <c r="D11">
        <v>8</v>
      </c>
    </row>
    <row r="13" spans="1:18" x14ac:dyDescent="0.25">
      <c r="A13" s="9" t="s">
        <v>22</v>
      </c>
    </row>
    <row r="14" spans="1:18" x14ac:dyDescent="0.25">
      <c r="B14" t="s">
        <v>0</v>
      </c>
      <c r="C14" t="s">
        <v>1</v>
      </c>
      <c r="D14" t="s">
        <v>2</v>
      </c>
      <c r="F14" s="1" t="s">
        <v>10</v>
      </c>
      <c r="G14" s="1" t="s">
        <v>9</v>
      </c>
      <c r="H14" s="1" t="s">
        <v>3</v>
      </c>
      <c r="I14" s="2" t="s">
        <v>11</v>
      </c>
      <c r="J14" s="2" t="s">
        <v>4</v>
      </c>
      <c r="K14" s="2" t="s">
        <v>5</v>
      </c>
      <c r="L14" s="3" t="s">
        <v>6</v>
      </c>
      <c r="M14" s="3" t="s">
        <v>7</v>
      </c>
      <c r="N14" s="3" t="s">
        <v>8</v>
      </c>
      <c r="O14" s="6" t="s">
        <v>12</v>
      </c>
      <c r="P14" s="7" t="s">
        <v>15</v>
      </c>
      <c r="Q14" s="5" t="s">
        <v>13</v>
      </c>
      <c r="R14" s="4" t="s">
        <v>14</v>
      </c>
    </row>
    <row r="15" spans="1:18" x14ac:dyDescent="0.25">
      <c r="A15" t="s">
        <v>0</v>
      </c>
      <c r="B15">
        <v>12</v>
      </c>
      <c r="C15">
        <v>2</v>
      </c>
      <c r="D15">
        <v>0</v>
      </c>
      <c r="F15" s="8">
        <f>B15/(B15+B16+B17)</f>
        <v>1</v>
      </c>
      <c r="G15" s="8">
        <f>C16/(C15+C16+C17)</f>
        <v>0.66666666666666663</v>
      </c>
      <c r="H15" s="8">
        <f>D17/(D15+D16+D17)</f>
        <v>1</v>
      </c>
      <c r="I15" s="8">
        <f>B15/(B15+C15+D15)</f>
        <v>0.8571428571428571</v>
      </c>
      <c r="J15" s="8">
        <f>C16/(C16+D16+E16)</f>
        <v>1</v>
      </c>
      <c r="K15" s="8">
        <f>D17/(B17+C17+D17)</f>
        <v>0.81818181818181823</v>
      </c>
      <c r="L15" s="8">
        <f>2*((F15*I15)/(F15+I15))</f>
        <v>0.92307692307692302</v>
      </c>
      <c r="M15" s="8">
        <f>2*((G15*J15)/(G15+J15))</f>
        <v>0.8</v>
      </c>
      <c r="N15" s="8">
        <f>2*((H15*K15)/(H15+K15))</f>
        <v>0.9</v>
      </c>
      <c r="O15" s="8">
        <f>AVERAGE(L15:N15)</f>
        <v>0.87435897435897436</v>
      </c>
      <c r="P15" s="8">
        <v>0.879</v>
      </c>
      <c r="Q15" s="8">
        <v>0.88800000000000001</v>
      </c>
      <c r="R15" s="8">
        <v>0.81799999999999995</v>
      </c>
    </row>
    <row r="16" spans="1:18" x14ac:dyDescent="0.25">
      <c r="A16" t="s">
        <v>1</v>
      </c>
      <c r="B16">
        <v>0</v>
      </c>
      <c r="C16">
        <v>8</v>
      </c>
      <c r="D16">
        <v>0</v>
      </c>
    </row>
    <row r="17" spans="1:18" x14ac:dyDescent="0.25">
      <c r="A17" t="s">
        <v>2</v>
      </c>
      <c r="B17">
        <v>0</v>
      </c>
      <c r="C17">
        <v>2</v>
      </c>
      <c r="D17">
        <v>9</v>
      </c>
    </row>
    <row r="19" spans="1:18" x14ac:dyDescent="0.25">
      <c r="A19" s="9" t="s">
        <v>23</v>
      </c>
    </row>
    <row r="20" spans="1:18" x14ac:dyDescent="0.25">
      <c r="B20" t="s">
        <v>0</v>
      </c>
      <c r="C20" t="s">
        <v>1</v>
      </c>
      <c r="D20" t="s">
        <v>2</v>
      </c>
      <c r="F20" s="1" t="s">
        <v>10</v>
      </c>
      <c r="G20" s="1" t="s">
        <v>9</v>
      </c>
      <c r="H20" s="1" t="s">
        <v>3</v>
      </c>
      <c r="I20" s="2" t="s">
        <v>11</v>
      </c>
      <c r="J20" s="2" t="s">
        <v>4</v>
      </c>
      <c r="K20" s="2" t="s">
        <v>5</v>
      </c>
      <c r="L20" s="3" t="s">
        <v>6</v>
      </c>
      <c r="M20" s="3" t="s">
        <v>7</v>
      </c>
      <c r="N20" s="3" t="s">
        <v>8</v>
      </c>
      <c r="O20" s="6" t="s">
        <v>12</v>
      </c>
      <c r="P20" s="7" t="s">
        <v>15</v>
      </c>
      <c r="Q20" s="5" t="s">
        <v>13</v>
      </c>
      <c r="R20" s="4" t="s">
        <v>14</v>
      </c>
    </row>
    <row r="21" spans="1:18" x14ac:dyDescent="0.25">
      <c r="A21" t="s">
        <v>0</v>
      </c>
      <c r="B21">
        <v>13</v>
      </c>
      <c r="C21">
        <v>1</v>
      </c>
      <c r="D21">
        <v>0</v>
      </c>
      <c r="F21" s="8">
        <f>B21/(B21+B22+B23)</f>
        <v>1</v>
      </c>
      <c r="G21" s="8">
        <f>C22/(C21+C22+C23)</f>
        <v>0.72727272727272729</v>
      </c>
      <c r="H21" s="8">
        <f>D23/(D21+D22+D23)</f>
        <v>1</v>
      </c>
      <c r="I21" s="8">
        <f>B21/(B21+C21+D21)</f>
        <v>0.9285714285714286</v>
      </c>
      <c r="J21" s="8">
        <f>C22/(C22+D22+E22)</f>
        <v>1</v>
      </c>
      <c r="K21" s="8">
        <f>D23/(B23+C23+D23)</f>
        <v>0.81818181818181823</v>
      </c>
      <c r="L21" s="8">
        <f>2*((F21*I21)/(F21+I21))</f>
        <v>0.96296296296296302</v>
      </c>
      <c r="M21" s="8">
        <f>2*((G21*J21)/(G21+J21))</f>
        <v>0.8421052631578948</v>
      </c>
      <c r="N21" s="8">
        <f>2*((H21*K21)/(H21+K21))</f>
        <v>0.9</v>
      </c>
      <c r="O21" s="8">
        <f>AVERAGE(L21:N21)</f>
        <v>0.90168940870695258</v>
      </c>
      <c r="P21" s="8">
        <v>0.90900000000000003</v>
      </c>
      <c r="Q21" s="8">
        <v>0.91200000000000003</v>
      </c>
      <c r="R21" s="8">
        <v>0.86299999999999999</v>
      </c>
    </row>
    <row r="22" spans="1:18" x14ac:dyDescent="0.25">
      <c r="A22" t="s">
        <v>1</v>
      </c>
      <c r="B22">
        <v>0</v>
      </c>
      <c r="C22">
        <v>8</v>
      </c>
      <c r="D22">
        <v>0</v>
      </c>
    </row>
    <row r="23" spans="1:18" x14ac:dyDescent="0.25">
      <c r="A23" t="s">
        <v>2</v>
      </c>
      <c r="B23">
        <v>0</v>
      </c>
      <c r="C23">
        <v>2</v>
      </c>
      <c r="D23">
        <v>9</v>
      </c>
    </row>
    <row r="25" spans="1:18" x14ac:dyDescent="0.25">
      <c r="A25" s="12" t="s">
        <v>25</v>
      </c>
    </row>
    <row r="26" spans="1:18" x14ac:dyDescent="0.25">
      <c r="B26" t="s">
        <v>0</v>
      </c>
      <c r="C26" t="s">
        <v>1</v>
      </c>
      <c r="D26" t="s">
        <v>2</v>
      </c>
      <c r="F26" s="1" t="s">
        <v>10</v>
      </c>
      <c r="G26" s="1" t="s">
        <v>9</v>
      </c>
      <c r="H26" s="1" t="s">
        <v>3</v>
      </c>
      <c r="I26" s="2" t="s">
        <v>11</v>
      </c>
      <c r="J26" s="2" t="s">
        <v>4</v>
      </c>
      <c r="K26" s="2" t="s">
        <v>5</v>
      </c>
      <c r="L26" s="3" t="s">
        <v>6</v>
      </c>
      <c r="M26" s="3" t="s">
        <v>7</v>
      </c>
      <c r="N26" s="3" t="s">
        <v>8</v>
      </c>
      <c r="O26" s="6" t="s">
        <v>12</v>
      </c>
      <c r="P26" s="7" t="s">
        <v>15</v>
      </c>
      <c r="Q26" s="5" t="s">
        <v>13</v>
      </c>
      <c r="R26" s="4" t="s">
        <v>14</v>
      </c>
    </row>
    <row r="27" spans="1:18" x14ac:dyDescent="0.25">
      <c r="A27" t="s">
        <v>0</v>
      </c>
      <c r="B27">
        <v>13</v>
      </c>
      <c r="C27">
        <v>1</v>
      </c>
      <c r="D27">
        <v>0</v>
      </c>
      <c r="F27" s="8">
        <f>B27/(B27+B28+B29)</f>
        <v>1</v>
      </c>
      <c r="G27" s="8">
        <f>C28/(C27+C28+C29)</f>
        <v>0.72727272727272729</v>
      </c>
      <c r="H27" s="8">
        <f>D29/(D27+D28+D29)</f>
        <v>1</v>
      </c>
      <c r="I27" s="8">
        <f>B27/(B27+C27+D27)</f>
        <v>0.9285714285714286</v>
      </c>
      <c r="J27" s="8">
        <f>C28/(C28+D28+E28)</f>
        <v>1</v>
      </c>
      <c r="K27" s="8">
        <f>D29/(B29+C29+D29)</f>
        <v>0.81818181818181823</v>
      </c>
      <c r="L27" s="8">
        <f>2*((F27*I27)/(F27+I27))</f>
        <v>0.96296296296296302</v>
      </c>
      <c r="M27" s="8">
        <f>2*((G27*J27)/(G27+J27))</f>
        <v>0.8421052631578948</v>
      </c>
      <c r="N27" s="8">
        <f>2*((H27*K27)/(H27+K27))</f>
        <v>0.9</v>
      </c>
      <c r="O27" s="8">
        <f>AVERAGE(L27:N27)</f>
        <v>0.90168940870695258</v>
      </c>
      <c r="P27" s="8">
        <v>0.90900000000000003</v>
      </c>
      <c r="Q27" s="8">
        <v>0.91200000000000003</v>
      </c>
      <c r="R27" s="8">
        <v>0.86299999999999999</v>
      </c>
    </row>
    <row r="28" spans="1:18" x14ac:dyDescent="0.25">
      <c r="A28" t="s">
        <v>1</v>
      </c>
      <c r="B28">
        <v>0</v>
      </c>
      <c r="C28">
        <v>8</v>
      </c>
      <c r="D28">
        <v>0</v>
      </c>
    </row>
    <row r="29" spans="1:18" x14ac:dyDescent="0.25">
      <c r="A29" t="s">
        <v>2</v>
      </c>
      <c r="B29">
        <v>0</v>
      </c>
      <c r="C29">
        <v>2</v>
      </c>
      <c r="D29">
        <v>9</v>
      </c>
    </row>
    <row r="31" spans="1:18" x14ac:dyDescent="0.25">
      <c r="A31" s="10" t="s">
        <v>24</v>
      </c>
      <c r="B31" s="11"/>
      <c r="C31" s="11"/>
    </row>
    <row r="32" spans="1:18" x14ac:dyDescent="0.25">
      <c r="B32" t="s">
        <v>0</v>
      </c>
      <c r="C32" t="s">
        <v>1</v>
      </c>
      <c r="D32" t="s">
        <v>2</v>
      </c>
      <c r="F32" s="1" t="s">
        <v>10</v>
      </c>
      <c r="G32" s="1" t="s">
        <v>9</v>
      </c>
      <c r="H32" s="1" t="s">
        <v>3</v>
      </c>
      <c r="I32" s="2" t="s">
        <v>11</v>
      </c>
      <c r="J32" s="2" t="s">
        <v>4</v>
      </c>
      <c r="K32" s="2" t="s">
        <v>5</v>
      </c>
      <c r="L32" s="3" t="s">
        <v>6</v>
      </c>
      <c r="M32" s="3" t="s">
        <v>7</v>
      </c>
      <c r="N32" s="3" t="s">
        <v>8</v>
      </c>
      <c r="O32" s="6" t="s">
        <v>12</v>
      </c>
      <c r="P32" s="7" t="s">
        <v>15</v>
      </c>
      <c r="Q32" s="5" t="s">
        <v>13</v>
      </c>
      <c r="R32" s="4" t="s">
        <v>14</v>
      </c>
    </row>
    <row r="33" spans="1:18" x14ac:dyDescent="0.25">
      <c r="A33" t="s">
        <v>0</v>
      </c>
      <c r="B33">
        <v>14</v>
      </c>
      <c r="C33">
        <v>0</v>
      </c>
      <c r="D33">
        <v>0</v>
      </c>
      <c r="F33" s="8">
        <f>B33/(B33+B34+B35)</f>
        <v>1</v>
      </c>
      <c r="G33" s="8">
        <f>C34/(C33+C34+C35)</f>
        <v>0.8</v>
      </c>
      <c r="H33" s="8">
        <f>D35/(D33+D34+D35)</f>
        <v>1</v>
      </c>
      <c r="I33" s="8">
        <f>B33/(B33+C33+D33)</f>
        <v>1</v>
      </c>
      <c r="J33" s="8">
        <f>C34/(C34+D34+E34)</f>
        <v>1</v>
      </c>
      <c r="K33" s="8">
        <f>D35/(B35+C35+D35)</f>
        <v>0.81818181818181823</v>
      </c>
      <c r="L33" s="8">
        <f>2*((F33*I33)/(F33+I33))</f>
        <v>1</v>
      </c>
      <c r="M33" s="8">
        <f>2*((G33*J33)/(G33+J33))</f>
        <v>0.88888888888888895</v>
      </c>
      <c r="N33" s="8">
        <f>2*((H33*K33)/(H33+K33))</f>
        <v>0.9</v>
      </c>
      <c r="O33" s="8">
        <f>AVERAGE(L33:N33)</f>
        <v>0.92962962962962958</v>
      </c>
      <c r="P33" s="8">
        <v>0.93899999999999995</v>
      </c>
      <c r="Q33" s="8">
        <v>0.93500000000000005</v>
      </c>
      <c r="R33" s="8">
        <v>0.90800000000000003</v>
      </c>
    </row>
    <row r="34" spans="1:18" x14ac:dyDescent="0.25">
      <c r="A34" t="s">
        <v>1</v>
      </c>
      <c r="B34">
        <v>0</v>
      </c>
      <c r="C34">
        <v>8</v>
      </c>
      <c r="D34">
        <v>0</v>
      </c>
    </row>
    <row r="35" spans="1:18" x14ac:dyDescent="0.25">
      <c r="A35" t="s">
        <v>2</v>
      </c>
      <c r="B35">
        <v>0</v>
      </c>
      <c r="C35">
        <v>2</v>
      </c>
      <c r="D35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acústico</vt:lpstr>
      <vt:lpstr>microsismos</vt:lpstr>
      <vt:lpstr>microsismos+fp</vt:lpstr>
      <vt:lpstr>fusión mejor car 2 fuentes</vt:lpstr>
      <vt:lpstr>fusión mejor car 2 fuentes+fp</vt:lpstr>
      <vt:lpstr>fusión mejor car por fuente</vt:lpstr>
      <vt:lpstr>fusión mejor car por fuente+fp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__</dc:creator>
  <cp:lastModifiedBy>__</cp:lastModifiedBy>
  <dcterms:created xsi:type="dcterms:W3CDTF">2026-08-17T20:23:10Z</dcterms:created>
  <dcterms:modified xsi:type="dcterms:W3CDTF">2026-08-18T23:38:01Z</dcterms:modified>
</cp:coreProperties>
</file>